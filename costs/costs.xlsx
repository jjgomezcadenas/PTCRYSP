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ation" sheetId="1" r:id="rId1"/>
    <sheet name="installation_market" sheetId="2" r:id="rId2"/>
    <sheet name="annual_service" sheetId="3" r:id="rId3"/>
    <sheet name="recurring_market" sheetId="4" r:id="rId4"/>
    <sheet name="market_growth" sheetId="5" r:id="rId5"/>
    <sheet name="argos_market" sheetId="6" r:id="rId6"/>
  </sheets>
  <calcPr calcId="124519" fullCalcOnLoad="1"/>
</workbook>
</file>

<file path=xl/sharedStrings.xml><?xml version="1.0" encoding="utf-8"?>
<sst xmlns="http://schemas.openxmlformats.org/spreadsheetml/2006/main" count="615" uniqueCount="350">
  <si>
    <t>ID</t>
  </si>
  <si>
    <t>Item</t>
  </si>
  <si>
    <t>Kind</t>
  </si>
  <si>
    <t>Value</t>
  </si>
  <si>
    <t>Unit</t>
  </si>
  <si>
    <t>Calculation</t>
  </si>
  <si>
    <t>Assumption / source</t>
  </si>
  <si>
    <t>pet_raw</t>
  </si>
  <si>
    <t>PET raw materials</t>
  </si>
  <si>
    <t>Input</t>
  </si>
  <si>
    <t>EUR</t>
  </si>
  <si>
    <t>User input; materials cost, not selling price.</t>
  </si>
  <si>
    <t>camera_raw</t>
  </si>
  <si>
    <t>Compton camera</t>
  </si>
  <si>
    <t>Order-of-magnitude project estimate.</t>
  </si>
  <si>
    <t>raw_budget</t>
  </si>
  <si>
    <t>Complete raw hardware budget</t>
  </si>
  <si>
    <t>User-agreed rounded budget including PET, camera and computing.</t>
  </si>
  <si>
    <t>other_raw</t>
  </si>
  <si>
    <t>Computing, other hardware and raw-cost allowance</t>
  </si>
  <si>
    <t>Derived</t>
  </si>
  <si>
    <t>raw_budget-pet_raw-camera_raw</t>
  </si>
  <si>
    <t>Residual allowance, not a supplier quote.</t>
  </si>
  <si>
    <t>delivery_extra</t>
  </si>
  <si>
    <t>Assembly, integration, software deployment, installation, validation and warranty</t>
  </si>
  <si>
    <t>User-agreed aggregate; excludes central product development and major building works.</t>
  </si>
  <si>
    <t>delivered_cost</t>
  </si>
  <si>
    <t>Total delivered cost</t>
  </si>
  <si>
    <t>raw_budget+delivery_extra</t>
  </si>
  <si>
    <t>installation_target_margin</t>
  </si>
  <si>
    <t>Target gross margin</t>
  </si>
  <si>
    <t>fraction</t>
  </si>
  <si>
    <t>Historical 40% pricing reference; current commercial price is an independent input.</t>
  </si>
  <si>
    <t>installation_target_price</t>
  </si>
  <si>
    <t>Price at target margin</t>
  </si>
  <si>
    <t>delivered_cost/(1-installation_target_margin)</t>
  </si>
  <si>
    <t>installation_price</t>
  </si>
  <si>
    <t>Installed system price</t>
  </si>
  <si>
    <t>Excludes VAT; includes initial software licence and standard commissioning.</t>
  </si>
  <si>
    <t>installation_profit</t>
  </si>
  <si>
    <t>Gross profit per installation</t>
  </si>
  <si>
    <t>installation_price-delivered_cost</t>
  </si>
  <si>
    <t>Before central software engineering, R&amp;D, regulatory programme, sales and corporate overhead.</t>
  </si>
  <si>
    <t>installation_margin</t>
  </si>
  <si>
    <t>Actual gross margin</t>
  </si>
  <si>
    <t>installation_profit/installation_price</t>
  </si>
  <si>
    <t>installation_example_count</t>
  </si>
  <si>
    <t>Illustrative installed systems</t>
  </si>
  <si>
    <t>systems</t>
  </si>
  <si>
    <t>Volume conversion, not a forecast.</t>
  </si>
  <si>
    <t>installation_example_revenue</t>
  </si>
  <si>
    <t>Revenue at illustrative volume</t>
  </si>
  <si>
    <t>installation_example_count*installation_price</t>
  </si>
  <si>
    <t>installation_negotiated_price</t>
  </si>
  <si>
    <t>Negotiated system price scenario</t>
  </si>
  <si>
    <t>Price sensitivity; not the target commercial offer.</t>
  </si>
  <si>
    <t>installation_negotiated_margin</t>
  </si>
  <si>
    <t>Negotiated system gross margin</t>
  </si>
  <si>
    <t>(installation_negotiated_price-delivered_cost)/installation_negotiated_price</t>
  </si>
  <si>
    <t>room_order_year</t>
  </si>
  <si>
    <t>Room order reference year</t>
  </si>
  <si>
    <t>year</t>
  </si>
  <si>
    <t>https://www.iba-worldwide.com/sites/default/files/2026-03/iba-fy25-results-presentation-en.pdf (p. 13)</t>
  </si>
  <si>
    <t>iba_orders</t>
  </si>
  <si>
    <t>IBA room orders</t>
  </si>
  <si>
    <t>rooms/year</t>
  </si>
  <si>
    <t>iba_share</t>
  </si>
  <si>
    <t>IBA share of room orders</t>
  </si>
  <si>
    <t>https://www.iba-worldwide.com/sites/default/files/2026-03/iba-fy25-results-presentation-en.pdf (p. 13); reported share is rounded.</t>
  </si>
  <si>
    <t>global_orders_estimate</t>
  </si>
  <si>
    <t>Global room order estimate</t>
  </si>
  <si>
    <t>iba_orders/iba_share</t>
  </si>
  <si>
    <t>global_orders</t>
  </si>
  <si>
    <t>Rounded global room order basis</t>
  </si>
  <si>
    <t>round(global_orders_estimate,0)</t>
  </si>
  <si>
    <t>Round before market calculation to recover the agreed 19-room scenario.</t>
  </si>
  <si>
    <t>new_adoption</t>
  </si>
  <si>
    <t>Monitoring uptake in new rooms</t>
  </si>
  <si>
    <t>Full-uptake scenario, not observed adoption. Orders assumed to translate to deliveries at a sustained annual rate.</t>
  </si>
  <si>
    <t>new_systems</t>
  </si>
  <si>
    <t>New-room monitoring systems</t>
  </si>
  <si>
    <t>systems/year</t>
  </si>
  <si>
    <t>global_orders*new_adoption</t>
  </si>
  <si>
    <t>market_ticket</t>
  </si>
  <si>
    <t>Installed-system selling price</t>
  </si>
  <si>
    <t>new_revenue</t>
  </si>
  <si>
    <t>New-room annual system market</t>
  </si>
  <si>
    <t>EUR/year</t>
  </si>
  <si>
    <t>new_systems*market_ticket</t>
  </si>
  <si>
    <t>eligible_rooms</t>
  </si>
  <si>
    <t>Eligible existing rooms</t>
  </si>
  <si>
    <t>rooms</t>
  </si>
  <si>
    <t>Scenario assumption, not a verified installed-base count; compatibility must be validated.</t>
  </si>
  <si>
    <t>retrofit_adoption</t>
  </si>
  <si>
    <t>Annual retrofit uptake</t>
  </si>
  <si>
    <t>Scenario assumption.</t>
  </si>
  <si>
    <t>retrofit_systems</t>
  </si>
  <si>
    <t>Annual retrofit systems</t>
  </si>
  <si>
    <t>eligible_rooms*retrofit_adoption</t>
  </si>
  <si>
    <t>retrofit_revenue</t>
  </si>
  <si>
    <t>Annual retrofit system market</t>
  </si>
  <si>
    <t>retrofit_systems*market_ticket</t>
  </si>
  <si>
    <t>annual_systems</t>
  </si>
  <si>
    <t>Combined annual installations</t>
  </si>
  <si>
    <t>new_systems+retrofit_systems</t>
  </si>
  <si>
    <t>annual_market</t>
  </si>
  <si>
    <t>Combined annual system market</t>
  </si>
  <si>
    <t>new_revenue+retrofit_revenue</t>
  </si>
  <si>
    <t>Addressable scenario, not company revenue or gross profit.</t>
  </si>
  <si>
    <t>base_potential</t>
  </si>
  <si>
    <t>One-time eligible installed-base potential</t>
  </si>
  <si>
    <t>eligible_rooms*market_ticket</t>
  </si>
  <si>
    <t>Stock opportunity, not annual revenue; not added to annual market.</t>
  </si>
  <si>
    <t>cryocooler_service</t>
  </si>
  <si>
    <t>Cryocooler and compressor maintenance reserve</t>
  </si>
  <si>
    <t>Provisional allocation within agreed EUR 30k; no routine liquid nitrogen purchases.</t>
  </si>
  <si>
    <t>hardware_spares</t>
  </si>
  <si>
    <t>Detector, electronics and computing spares</t>
  </si>
  <si>
    <t>Provisional allowance; major replacements excluded.</t>
  </si>
  <si>
    <t>hardware_calibration</t>
  </si>
  <si>
    <t>Calibration and performance verification</t>
  </si>
  <si>
    <t>Includes service technician labour, distinct from monitoring staff.</t>
  </si>
  <si>
    <t>hardware_travel</t>
  </si>
  <si>
    <t>Service travel and transport</t>
  </si>
  <si>
    <t>Provisional allowance.</t>
  </si>
  <si>
    <t>hardware_annual</t>
  </si>
  <si>
    <t>Hardware maintenance total</t>
  </si>
  <si>
    <t>cryocooler_service+hardware_spares+hardware_calibration+hardware_travel</t>
  </si>
  <si>
    <t>Agreed baseline EUR 30k; supplier validation remains outstanding.</t>
  </si>
  <si>
    <t>salary</t>
  </si>
  <si>
    <t>Dedicated monitoring specialist gross salary</t>
  </si>
  <si>
    <t>Proposed Spanish hiring baseline accepted by user; not a salary survey.</t>
  </si>
  <si>
    <t>employer_rate</t>
  </si>
  <si>
    <t>Employer contribution allowance</t>
  </si>
  <si>
    <t>Approximation based on Spanish contributions; exact payroll depends on classification. https://www.seg-social.es/wps/portal/wss/internet/Trabajadores/CotizacionRecaudacionTrabajadores/10721/10957/583?changeLanguage=es</t>
  </si>
  <si>
    <t>employer_cost</t>
  </si>
  <si>
    <t>Employer contributions</t>
  </si>
  <si>
    <t>salary*employer_rate</t>
  </si>
  <si>
    <t>employee_cost</t>
  </si>
  <si>
    <t>Dedicated employee loaded cost</t>
  </si>
  <si>
    <t>salary+employer_cost</t>
  </si>
  <si>
    <t>relief_rate</t>
  </si>
  <si>
    <t>Relief coverage allowance</t>
  </si>
  <si>
    <t>Budget provision for leave, sickness and training; requires actual qualified cover. One working shift only.</t>
  </si>
  <si>
    <t>relief_cost</t>
  </si>
  <si>
    <t>Relief coverage cost</t>
  </si>
  <si>
    <t>employee_cost*relief_rate</t>
  </si>
  <si>
    <t>personnel_unrounded</t>
  </si>
  <si>
    <t>Personnel cost before budget rounding</t>
  </si>
  <si>
    <t>employee_cost+relief_cost</t>
  </si>
  <si>
    <t>personnel_rounding</t>
  </si>
  <si>
    <t>Personnel rounding increment</t>
  </si>
  <si>
    <t>Round up to this increment.</t>
  </si>
  <si>
    <t>personnel_spain</t>
  </si>
  <si>
    <t>Rounded Spain personnel budget</t>
  </si>
  <si>
    <t>ceil(personnel_unrounded/personnel_rounding)*personnel_rounding</t>
  </si>
  <si>
    <t>country_factor</t>
  </si>
  <si>
    <t>Personnel country correction factor</t>
  </si>
  <si>
    <t>factor</t>
  </si>
  <si>
    <t>Spain baseline; adjust for other markets. Applied only to personnel, not hardware/software.</t>
  </si>
  <si>
    <t>personnel_annual</t>
  </si>
  <si>
    <t>Country-adjusted personnel budget</t>
  </si>
  <si>
    <t>personnel_spain*country_factor</t>
  </si>
  <si>
    <t>software_remote</t>
  </si>
  <si>
    <t>Secure remote access and monitoring</t>
  </si>
  <si>
    <t>Non-personnel allowance; local installation.</t>
  </si>
  <si>
    <t>software_backup</t>
  </si>
  <si>
    <t>Backup software and security certificates</t>
  </si>
  <si>
    <t>Non-personnel allowance.</t>
  </si>
  <si>
    <t>software_licences</t>
  </si>
  <si>
    <t>Third-party licences and contingency</t>
  </si>
  <si>
    <t>Non-personnel allowance; no cloud reconstruction or hosting.</t>
  </si>
  <si>
    <t>software_annual</t>
  </si>
  <si>
    <t>Software operating expenses</t>
  </si>
  <si>
    <t>software_remote+software_backup+software_licences</t>
  </si>
  <si>
    <t>Hardware purchased at installation. Hospital supplies electricity/networking. Central software engineer excluded here and budgeted at company level.</t>
  </si>
  <si>
    <t>service_cost</t>
  </si>
  <si>
    <t>Direct annual service cost</t>
  </si>
  <si>
    <t>hardware_annual+personnel_annual+software_annual</t>
  </si>
  <si>
    <t>service_target_margin</t>
  </si>
  <si>
    <t>Target service gross margin</t>
  </si>
  <si>
    <t>service_target_price</t>
  </si>
  <si>
    <t>Annual price at target margin</t>
  </si>
  <si>
    <t>service_cost/(1-service_target_margin)</t>
  </si>
  <si>
    <t>service_price</t>
  </si>
  <si>
    <t>Annual service fee</t>
  </si>
  <si>
    <t>Accepted by user; excludes VAT. Service after included installation warranty; avoid charging twice for warranty coverage.</t>
  </si>
  <si>
    <t>service_profit</t>
  </si>
  <si>
    <t>Gross profit per annual contract</t>
  </si>
  <si>
    <t>service_price-service_cost</t>
  </si>
  <si>
    <t>Before central engineer, expert escalation, management and other company expenses.</t>
  </si>
  <si>
    <t>service_margin</t>
  </si>
  <si>
    <t>Actual service gross margin</t>
  </si>
  <si>
    <t>service_profit/service_price</t>
  </si>
  <si>
    <t>service_price_ratio</t>
  </si>
  <si>
    <t>Annual fee as share of system selling price</t>
  </si>
  <si>
    <t>service_price/installation_price</t>
  </si>
  <si>
    <t>Comparison with selling price, not manufacturing cost.</t>
  </si>
  <si>
    <t>service_negotiated_price</t>
  </si>
  <si>
    <t>Negotiated annual service fee scenario</t>
  </si>
  <si>
    <t>Price sensitivity; agreed scope unchanged.</t>
  </si>
  <si>
    <t>service_negotiated_margin</t>
  </si>
  <si>
    <t>Negotiated service gross margin</t>
  </si>
  <si>
    <t>(service_negotiated_price-service_cost)/service_negotiated_price</t>
  </si>
  <si>
    <t>recurring_price</t>
  </si>
  <si>
    <t>Annual contract price</t>
  </si>
  <si>
    <t>recurring_cost</t>
  </si>
  <si>
    <t>Annual direct cost per contract</t>
  </si>
  <si>
    <t>recurring_profit</t>
  </si>
  <si>
    <t>Annual gross profit per contract</t>
  </si>
  <si>
    <t>small_contracts</t>
  </si>
  <si>
    <t>Small scenario: active paying contracts</t>
  </si>
  <si>
    <t>contracts</t>
  </si>
  <si>
    <t>Annual steady-state illustration, not a ramp forecast or market-share claim; all contracts active for a full year.</t>
  </si>
  <si>
    <t>small_revenue</t>
  </si>
  <si>
    <t>Small scenario: annual recurring revenue</t>
  </si>
  <si>
    <t>small_contracts*recurring_price</t>
  </si>
  <si>
    <t>small_cost</t>
  </si>
  <si>
    <t>Small scenario: annual direct cost</t>
  </si>
  <si>
    <t>small_contracts*recurring_cost</t>
  </si>
  <si>
    <t>small_profit</t>
  </si>
  <si>
    <t>Small scenario: annual gross profit</t>
  </si>
  <si>
    <t>small_contracts*recurring_profit</t>
  </si>
  <si>
    <t>Central company operating expenses excluded; not operating profit.</t>
  </si>
  <si>
    <t>medium_contracts</t>
  </si>
  <si>
    <t>Medium scenario: active paying contracts</t>
  </si>
  <si>
    <t>medium_revenue</t>
  </si>
  <si>
    <t>Medium scenario: annual recurring revenue</t>
  </si>
  <si>
    <t>medium_contracts*recurring_price</t>
  </si>
  <si>
    <t>medium_cost</t>
  </si>
  <si>
    <t>Medium scenario: annual direct cost</t>
  </si>
  <si>
    <t>medium_contracts*recurring_cost</t>
  </si>
  <si>
    <t>medium_profit</t>
  </si>
  <si>
    <t>Medium scenario: annual gross profit</t>
  </si>
  <si>
    <t>medium_contracts*recurring_profit</t>
  </si>
  <si>
    <t>large_contracts</t>
  </si>
  <si>
    <t>Large scenario: active paying contracts</t>
  </si>
  <si>
    <t>large_revenue</t>
  </si>
  <si>
    <t>Large scenario: annual recurring revenue</t>
  </si>
  <si>
    <t>large_contracts*recurring_price</t>
  </si>
  <si>
    <t>large_cost</t>
  </si>
  <si>
    <t>Large scenario: annual direct cost</t>
  </si>
  <si>
    <t>large_contracts*recurring_cost</t>
  </si>
  <si>
    <t>large_profit</t>
  </si>
  <si>
    <t>Large scenario: annual gross profit</t>
  </si>
  <si>
    <t>large_contracts*recurring_profit</t>
  </si>
  <si>
    <t>growth_start_year</t>
  </si>
  <si>
    <t>Reference year</t>
  </si>
  <si>
    <t>growth_base</t>
  </si>
  <si>
    <t>Provisional operating proton rooms</t>
  </si>
  <si>
    <t>Planning assumption; not a verified inventory or ARGOS-compatible base.</t>
  </si>
  <si>
    <t>growth_short</t>
  </si>
  <si>
    <t>First horizon</t>
  </si>
  <si>
    <t>years</t>
  </si>
  <si>
    <t>growth_long</t>
  </si>
  <si>
    <t>Second horizon</t>
  </si>
  <si>
    <t>growth_short_year</t>
  </si>
  <si>
    <t>First projection year</t>
  </si>
  <si>
    <t>growth_start_year+growth_short</t>
  </si>
  <si>
    <t>growth_long_year</t>
  </si>
  <si>
    <t>Second projection year</t>
  </si>
  <si>
    <t>growth_start_year+growth_long</t>
  </si>
  <si>
    <t>growth_slow</t>
  </si>
  <si>
    <t>Assumed annual net growth: slow</t>
  </si>
  <si>
    <t>Judgement-based scenario; not a fitted forecast or confidence interval.</t>
  </si>
  <si>
    <t>slow_short</t>
  </si>
  <si>
    <t>Operating rooms: slow short</t>
  </si>
  <si>
    <t>growth_base*(1+growth_slow)**growth_short</t>
  </si>
  <si>
    <t>slow_short_shown</t>
  </si>
  <si>
    <t>Rounded rooms: slow short</t>
  </si>
  <si>
    <t>round(slow_short,0)</t>
  </si>
  <si>
    <t>slow_long</t>
  </si>
  <si>
    <t>Operating rooms: slow long</t>
  </si>
  <si>
    <t>growth_base*(1+growth_slow)**growth_long</t>
  </si>
  <si>
    <t>slow_long_shown</t>
  </si>
  <si>
    <t>Rounded rooms: slow long</t>
  </si>
  <si>
    <t>round(slow_long,0)</t>
  </si>
  <si>
    <t>growth_central</t>
  </si>
  <si>
    <t>Assumed annual net growth: central</t>
  </si>
  <si>
    <t>central_short</t>
  </si>
  <si>
    <t>Operating rooms: central short</t>
  </si>
  <si>
    <t>growth_base*(1+growth_central)**growth_short</t>
  </si>
  <si>
    <t>central_short_shown</t>
  </si>
  <si>
    <t>Rounded rooms: central short</t>
  </si>
  <si>
    <t>round(central_short,0)</t>
  </si>
  <si>
    <t>central_long</t>
  </si>
  <si>
    <t>Operating rooms: central long</t>
  </si>
  <si>
    <t>growth_base*(1+growth_central)**growth_long</t>
  </si>
  <si>
    <t>central_long_shown</t>
  </si>
  <si>
    <t>Rounded rooms: central long</t>
  </si>
  <si>
    <t>round(central_long,0)</t>
  </si>
  <si>
    <t>growth_fast</t>
  </si>
  <si>
    <t>Assumed annual net growth: fast</t>
  </si>
  <si>
    <t>fast_short</t>
  </si>
  <si>
    <t>Operating rooms: fast short</t>
  </si>
  <si>
    <t>growth_base*(1+growth_fast)**growth_short</t>
  </si>
  <si>
    <t>fast_short_shown</t>
  </si>
  <si>
    <t>Rounded rooms: fast short</t>
  </si>
  <si>
    <t>round(fast_short,0)</t>
  </si>
  <si>
    <t>fast_long</t>
  </si>
  <si>
    <t>Operating rooms: fast long</t>
  </si>
  <si>
    <t>growth_base*(1+growth_fast)**growth_long</t>
  </si>
  <si>
    <t>fast_long_shown</t>
  </si>
  <si>
    <t>Rounded rooms: fast long</t>
  </si>
  <si>
    <t>round(fast_long,0)</t>
  </si>
  <si>
    <t>observed_centres</t>
  </si>
  <si>
    <t>Proton facilities January 2026</t>
  </si>
  <si>
    <t>centres</t>
  </si>
  <si>
    <t>Yap et al. doi:10.3389/fonc.2026.1791102; PTCOG compilation.</t>
  </si>
  <si>
    <t>construction_rooms</t>
  </si>
  <si>
    <t>Listed proton rooms under construction June 2026</t>
  </si>
  <si>
    <t>Manual PTCOG tally; includes stale/uncertain dates; excludes carbon-only rooms. https://ptcog.online/facilities-under-construction/</t>
  </si>
  <si>
    <t>recent_iba_orders</t>
  </si>
  <si>
    <t>IBA H1 2026 room orders</t>
  </si>
  <si>
    <t>IBA H1 2026 presentation p13.</t>
  </si>
  <si>
    <t>recent_iba_share</t>
  </si>
  <si>
    <t>IBA H1 2026 reported order share</t>
  </si>
  <si>
    <t>https://www.iba-worldwide.com/sites/default/files/2026-08/iba_h1_2026_results_presentation.pdf</t>
  </si>
  <si>
    <t>recent_global_orders</t>
  </si>
  <si>
    <t>Implied H1 global room orders</t>
  </si>
  <si>
    <t>round(recent_iba_orders/recent_iba_share,0)</t>
  </si>
  <si>
    <t>recent_iba_backlog</t>
  </si>
  <si>
    <t>IBA H1 2026 equipment projects</t>
  </si>
  <si>
    <t>projects</t>
  </si>
  <si>
    <t>7 ProteusPLUS and 39 ProteusONE; includes 11 installations underway. Overlaps PTCOG pipeline.</t>
  </si>
  <si>
    <t>tam_price</t>
  </si>
  <si>
    <t>Price per ARGOS system</t>
  </si>
  <si>
    <t>tam_fee</t>
  </si>
  <si>
    <t>tam_short_added</t>
  </si>
  <si>
    <t>Cumulative net additional rooms</t>
  </si>
  <si>
    <t>central_short-growth_base</t>
  </si>
  <si>
    <t>tam_short_added_shown</t>
  </si>
  <si>
    <t>Rounded cumulative net additional rooms</t>
  </si>
  <si>
    <t>round(tam_short_added,0)</t>
  </si>
  <si>
    <t>tam_short_systems</t>
  </si>
  <si>
    <t>Cumulative system sales potential from net expansion</t>
  </si>
  <si>
    <t>tam_short_added*tam_price</t>
  </si>
  <si>
    <t>Full compatibility and adoption; all suppliers; excludes existing-base retrofits and replacement. Uses unrounded projections.</t>
  </si>
  <si>
    <t>tam_short_services</t>
  </si>
  <si>
    <t>Annual service potential on entire projected room base</t>
  </si>
  <si>
    <t>central_short*tam_fee</t>
  </si>
  <si>
    <t>Full compatibility and adoption; all projected operating rooms on full-year contracts. All suppliers, not ARGOS company revenue.</t>
  </si>
  <si>
    <t>tam_long_added</t>
  </si>
  <si>
    <t>central_long-growth_base</t>
  </si>
  <si>
    <t>tam_long_added_shown</t>
  </si>
  <si>
    <t>round(tam_long_added,0)</t>
  </si>
  <si>
    <t>tam_long_systems</t>
  </si>
  <si>
    <t>tam_long_added*tam_price</t>
  </si>
  <si>
    <t>tam_long_services</t>
  </si>
  <si>
    <t>central_long*tam_fee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</si>
</sst>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.00;[Red]-#,##0.00"/>
    <numFmt numFmtId="166" formatCode="0.0%"/>
  </numFmts>
  <fonts count="2">
    <font>
      <sz val="11"/>
      <color theme="1"/>
      <name val="Calibri"/>
      <family val="2"/>
      <scheme val="minor"/>
    </font>
    <font>
      <sz val="11"/>
      <color rgb="FF1565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el_installation" displayName="model_installation" ref="A1:G16" totalsRowShown="0">
  <autoFilter ref="A1:G16"/>
  <tableColumns count="7">
    <tableColumn id="1" name="ID"/>
    <tableColumn id="2" name="Item"/>
    <tableColumn id="3" name="Kind"/>
    <tableColumn id="4" name="Value"/>
    <tableColumn id="5" name="Unit"/>
    <tableColumn id="6" name="Calculation"/>
    <tableColumn id="7" name="Assumption /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_installation_market" displayName="model_installation_market" ref="A1:G17" totalsRowShown="0">
  <autoFilter ref="A1:G17"/>
  <tableColumns count="7">
    <tableColumn id="1" name="ID"/>
    <tableColumn id="2" name="Item"/>
    <tableColumn id="3" name="Kind"/>
    <tableColumn id="4" name="Value"/>
    <tableColumn id="5" name="Unit"/>
    <tableColumn id="6" name="Calculation"/>
    <tableColumn id="7" name="Assumption /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del_annual_service" displayName="model_annual_service" ref="A1:G30" totalsRowShown="0">
  <autoFilter ref="A1:G30"/>
  <tableColumns count="7">
    <tableColumn id="1" name="ID"/>
    <tableColumn id="2" name="Item"/>
    <tableColumn id="3" name="Kind"/>
    <tableColumn id="4" name="Value"/>
    <tableColumn id="5" name="Unit"/>
    <tableColumn id="6" name="Calculation"/>
    <tableColumn id="7" name="Assumption /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del_recurring_market" displayName="model_recurring_market" ref="A1:G16" totalsRowShown="0">
  <autoFilter ref="A1:G16"/>
  <tableColumns count="7">
    <tableColumn id="1" name="ID"/>
    <tableColumn id="2" name="Item"/>
    <tableColumn id="3" name="Kind"/>
    <tableColumn id="4" name="Value"/>
    <tableColumn id="5" name="Unit"/>
    <tableColumn id="6" name="Calculation"/>
    <tableColumn id="7" name="Assumption / 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del_market_growth" displayName="model_market_growth" ref="A1:G28" totalsRowShown="0">
  <autoFilter ref="A1:G28"/>
  <tableColumns count="7">
    <tableColumn id="1" name="ID"/>
    <tableColumn id="2" name="Item"/>
    <tableColumn id="3" name="Kind"/>
    <tableColumn id="4" name="Value"/>
    <tableColumn id="5" name="Unit"/>
    <tableColumn id="6" name="Calculation"/>
    <tableColumn id="7" name="Assumption /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_argos_market" displayName="model_argos_market" ref="A1:G11" totalsRowShown="0">
  <autoFilter ref="A1:G11"/>
  <tableColumns count="7">
    <tableColumn id="1" name="ID"/>
    <tableColumn id="2" name="Item"/>
    <tableColumn id="3" name="Kind"/>
    <tableColumn id="4" name="Value"/>
    <tableColumn id="5" name="Unit"/>
    <tableColumn id="6" name="Calculation"/>
    <tableColumn id="7" name="Assumption /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57.7109375" customWidth="1"/>
    <col min="3" max="3" width="12.7109375" customWidth="1"/>
    <col min="4" max="4" width="20.7109375" customWidth="1"/>
    <col min="5" max="5" width="15.7109375" customWidth="1"/>
    <col min="6" max="6" width="57.7109375" customWidth="1"/>
    <col min="7" max="7" width="10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740000</v>
      </c>
      <c r="E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D3" s="1">
        <v>100000</v>
      </c>
      <c r="E3" t="s">
        <v>10</v>
      </c>
      <c r="G3" t="s">
        <v>14</v>
      </c>
    </row>
    <row r="4" spans="1:7">
      <c r="A4" t="s">
        <v>15</v>
      </c>
      <c r="B4" t="s">
        <v>16</v>
      </c>
      <c r="C4" t="s">
        <v>9</v>
      </c>
      <c r="D4" s="1">
        <v>1000000</v>
      </c>
      <c r="E4" t="s">
        <v>10</v>
      </c>
      <c r="G4" t="s">
        <v>17</v>
      </c>
    </row>
    <row r="5" spans="1:7">
      <c r="A5" t="s">
        <v>18</v>
      </c>
      <c r="B5" t="s">
        <v>19</v>
      </c>
      <c r="C5" t="s">
        <v>20</v>
      </c>
      <c r="D5" s="2">
        <f>(('installation'!D4-'installation'!D2)-'installation'!D3)</f>
        <v>160000.0</v>
      </c>
      <c r="E5" t="s">
        <v>10</v>
      </c>
      <c r="F5" t="s">
        <v>21</v>
      </c>
      <c r="G5" t="s">
        <v>22</v>
      </c>
    </row>
    <row r="6" spans="1:7">
      <c r="A6" t="s">
        <v>23</v>
      </c>
      <c r="B6" t="s">
        <v>24</v>
      </c>
      <c r="C6" t="s">
        <v>9</v>
      </c>
      <c r="D6" s="1">
        <v>200000</v>
      </c>
      <c r="E6" t="s">
        <v>10</v>
      </c>
      <c r="G6" t="s">
        <v>25</v>
      </c>
    </row>
    <row r="7" spans="1:7">
      <c r="A7" t="s">
        <v>26</v>
      </c>
      <c r="B7" t="s">
        <v>27</v>
      </c>
      <c r="C7" t="s">
        <v>20</v>
      </c>
      <c r="D7" s="2">
        <f>('installation'!D4+'installation'!D6)</f>
        <v>1200000.0</v>
      </c>
      <c r="E7" t="s">
        <v>10</v>
      </c>
      <c r="F7" t="s">
        <v>28</v>
      </c>
    </row>
    <row r="8" spans="1:7">
      <c r="A8" t="s">
        <v>29</v>
      </c>
      <c r="B8" t="s">
        <v>30</v>
      </c>
      <c r="C8" t="s">
        <v>9</v>
      </c>
      <c r="D8" s="3">
        <v>0.4</v>
      </c>
      <c r="E8" t="s">
        <v>31</v>
      </c>
      <c r="G8" t="s">
        <v>32</v>
      </c>
    </row>
    <row r="9" spans="1:7">
      <c r="A9" t="s">
        <v>33</v>
      </c>
      <c r="B9" t="s">
        <v>34</v>
      </c>
      <c r="C9" t="s">
        <v>20</v>
      </c>
      <c r="D9" s="2">
        <f>('installation'!D7/(1-'installation'!D8))</f>
        <v>2000000.0</v>
      </c>
      <c r="E9" t="s">
        <v>10</v>
      </c>
      <c r="F9" t="s">
        <v>35</v>
      </c>
    </row>
    <row r="10" spans="1:7">
      <c r="A10" t="s">
        <v>36</v>
      </c>
      <c r="B10" t="s">
        <v>37</v>
      </c>
      <c r="C10" t="s">
        <v>9</v>
      </c>
      <c r="D10" s="1">
        <v>2500000</v>
      </c>
      <c r="E10" t="s">
        <v>10</v>
      </c>
      <c r="G10" t="s">
        <v>38</v>
      </c>
    </row>
    <row r="11" spans="1:7">
      <c r="A11" t="s">
        <v>39</v>
      </c>
      <c r="B11" t="s">
        <v>40</v>
      </c>
      <c r="C11" t="s">
        <v>20</v>
      </c>
      <c r="D11" s="2">
        <f>('installation'!D10-'installation'!D7)</f>
        <v>1300000.0</v>
      </c>
      <c r="E11" t="s">
        <v>10</v>
      </c>
      <c r="F11" t="s">
        <v>41</v>
      </c>
      <c r="G11" t="s">
        <v>42</v>
      </c>
    </row>
    <row r="12" spans="1:7">
      <c r="A12" t="s">
        <v>43</v>
      </c>
      <c r="B12" t="s">
        <v>44</v>
      </c>
      <c r="C12" t="s">
        <v>20</v>
      </c>
      <c r="D12" s="4">
        <f>('installation'!D11/'installation'!D10)</f>
        <v>0.52</v>
      </c>
      <c r="E12" t="s">
        <v>31</v>
      </c>
      <c r="F12" t="s">
        <v>45</v>
      </c>
    </row>
    <row r="13" spans="1:7">
      <c r="A13" t="s">
        <v>46</v>
      </c>
      <c r="B13" t="s">
        <v>47</v>
      </c>
      <c r="C13" t="s">
        <v>9</v>
      </c>
      <c r="D13" s="1">
        <v>10</v>
      </c>
      <c r="E13" t="s">
        <v>48</v>
      </c>
      <c r="G13" t="s">
        <v>49</v>
      </c>
    </row>
    <row r="14" spans="1:7">
      <c r="A14" t="s">
        <v>50</v>
      </c>
      <c r="B14" t="s">
        <v>51</v>
      </c>
      <c r="C14" t="s">
        <v>20</v>
      </c>
      <c r="D14" s="2">
        <f>('installation'!D13*'installation'!D10)</f>
        <v>25000000.0</v>
      </c>
      <c r="E14" t="s">
        <v>10</v>
      </c>
      <c r="F14" t="s">
        <v>52</v>
      </c>
    </row>
    <row r="15" spans="1:7">
      <c r="A15" t="s">
        <v>53</v>
      </c>
      <c r="B15" t="s">
        <v>54</v>
      </c>
      <c r="C15" t="s">
        <v>9</v>
      </c>
      <c r="D15" s="1">
        <v>2200000</v>
      </c>
      <c r="E15" t="s">
        <v>10</v>
      </c>
      <c r="G15" t="s">
        <v>55</v>
      </c>
    </row>
    <row r="16" spans="1:7">
      <c r="A16" t="s">
        <v>56</v>
      </c>
      <c r="B16" t="s">
        <v>57</v>
      </c>
      <c r="C16" t="s">
        <v>20</v>
      </c>
      <c r="D16" s="4">
        <f>(('installation'!D15-'installation'!D7)/'installation'!D15)</f>
        <v>0.45454545454545453</v>
      </c>
      <c r="E16" t="s">
        <v>31</v>
      </c>
      <c r="F16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57.7109375" customWidth="1"/>
    <col min="3" max="3" width="12.7109375" customWidth="1"/>
    <col min="4" max="4" width="20.7109375" customWidth="1"/>
    <col min="5" max="5" width="15.7109375" customWidth="1"/>
    <col min="6" max="6" width="57.7109375" customWidth="1"/>
    <col min="7" max="7" width="10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59</v>
      </c>
      <c r="B2" t="s">
        <v>60</v>
      </c>
      <c r="C2" t="s">
        <v>9</v>
      </c>
      <c r="D2" s="1">
        <v>2025</v>
      </c>
      <c r="E2" t="s">
        <v>61</v>
      </c>
      <c r="G2" t="s">
        <v>62</v>
      </c>
    </row>
    <row r="3" spans="1:7">
      <c r="A3" t="s">
        <v>63</v>
      </c>
      <c r="B3" t="s">
        <v>64</v>
      </c>
      <c r="C3" t="s">
        <v>9</v>
      </c>
      <c r="D3" s="1">
        <v>12</v>
      </c>
      <c r="E3" t="s">
        <v>65</v>
      </c>
      <c r="G3" t="s">
        <v>62</v>
      </c>
    </row>
    <row r="4" spans="1:7">
      <c r="A4" t="s">
        <v>66</v>
      </c>
      <c r="B4" t="s">
        <v>67</v>
      </c>
      <c r="C4" t="s">
        <v>9</v>
      </c>
      <c r="D4" s="3">
        <v>0.63</v>
      </c>
      <c r="E4" t="s">
        <v>31</v>
      </c>
      <c r="G4" t="s">
        <v>68</v>
      </c>
    </row>
    <row r="5" spans="1:7">
      <c r="A5" t="s">
        <v>69</v>
      </c>
      <c r="B5" t="s">
        <v>70</v>
      </c>
      <c r="C5" t="s">
        <v>20</v>
      </c>
      <c r="D5" s="2">
        <f>('installation_market'!D3/'installation_market'!D4)</f>
        <v>19.047619047619047</v>
      </c>
      <c r="E5" t="s">
        <v>65</v>
      </c>
      <c r="F5" t="s">
        <v>71</v>
      </c>
    </row>
    <row r="6" spans="1:7">
      <c r="A6" t="s">
        <v>72</v>
      </c>
      <c r="B6" t="s">
        <v>73</v>
      </c>
      <c r="C6" t="s">
        <v>20</v>
      </c>
      <c r="D6" s="2">
        <f>ROUND('installation_market'!D5,0)</f>
        <v>19.0</v>
      </c>
      <c r="E6" t="s">
        <v>65</v>
      </c>
      <c r="F6" t="s">
        <v>74</v>
      </c>
      <c r="G6" t="s">
        <v>75</v>
      </c>
    </row>
    <row r="7" spans="1:7">
      <c r="A7" t="s">
        <v>76</v>
      </c>
      <c r="B7" t="s">
        <v>77</v>
      </c>
      <c r="C7" t="s">
        <v>9</v>
      </c>
      <c r="D7" s="3">
        <v>1</v>
      </c>
      <c r="E7" t="s">
        <v>31</v>
      </c>
      <c r="G7" t="s">
        <v>78</v>
      </c>
    </row>
    <row r="8" spans="1:7">
      <c r="A8" t="s">
        <v>79</v>
      </c>
      <c r="B8" t="s">
        <v>80</v>
      </c>
      <c r="C8" t="s">
        <v>20</v>
      </c>
      <c r="D8" s="2">
        <f>('installation_market'!D6*'installation_market'!D7)</f>
        <v>19.0</v>
      </c>
      <c r="E8" t="s">
        <v>81</v>
      </c>
      <c r="F8" t="s">
        <v>82</v>
      </c>
    </row>
    <row r="9" spans="1:7">
      <c r="A9" t="s">
        <v>83</v>
      </c>
      <c r="B9" t="s">
        <v>84</v>
      </c>
      <c r="C9" t="s">
        <v>20</v>
      </c>
      <c r="D9" s="2">
        <f>'installation'!D10</f>
        <v>2500000.0</v>
      </c>
      <c r="E9" t="s">
        <v>10</v>
      </c>
      <c r="F9" t="s">
        <v>36</v>
      </c>
    </row>
    <row r="10" spans="1:7">
      <c r="A10" t="s">
        <v>85</v>
      </c>
      <c r="B10" t="s">
        <v>86</v>
      </c>
      <c r="C10" t="s">
        <v>20</v>
      </c>
      <c r="D10" s="2">
        <f>('installation_market'!D8*'installation_market'!D9)</f>
        <v>47500000.0</v>
      </c>
      <c r="E10" t="s">
        <v>87</v>
      </c>
      <c r="F10" t="s">
        <v>88</v>
      </c>
    </row>
    <row r="11" spans="1:7">
      <c r="A11" t="s">
        <v>89</v>
      </c>
      <c r="B11" t="s">
        <v>90</v>
      </c>
      <c r="C11" t="s">
        <v>9</v>
      </c>
      <c r="D11" s="1">
        <v>300</v>
      </c>
      <c r="E11" t="s">
        <v>91</v>
      </c>
      <c r="G11" t="s">
        <v>92</v>
      </c>
    </row>
    <row r="12" spans="1:7">
      <c r="A12" t="s">
        <v>93</v>
      </c>
      <c r="B12" t="s">
        <v>94</v>
      </c>
      <c r="C12" t="s">
        <v>9</v>
      </c>
      <c r="D12" s="3">
        <v>0.05</v>
      </c>
      <c r="E12" t="s">
        <v>31</v>
      </c>
      <c r="G12" t="s">
        <v>95</v>
      </c>
    </row>
    <row r="13" spans="1:7">
      <c r="A13" t="s">
        <v>96</v>
      </c>
      <c r="B13" t="s">
        <v>97</v>
      </c>
      <c r="C13" t="s">
        <v>20</v>
      </c>
      <c r="D13" s="2">
        <f>('installation_market'!D11*'installation_market'!D12)</f>
        <v>15.0</v>
      </c>
      <c r="E13" t="s">
        <v>81</v>
      </c>
      <c r="F13" t="s">
        <v>98</v>
      </c>
    </row>
    <row r="14" spans="1:7">
      <c r="A14" t="s">
        <v>99</v>
      </c>
      <c r="B14" t="s">
        <v>100</v>
      </c>
      <c r="C14" t="s">
        <v>20</v>
      </c>
      <c r="D14" s="2">
        <f>('installation_market'!D13*'installation_market'!D9)</f>
        <v>37500000.0</v>
      </c>
      <c r="E14" t="s">
        <v>87</v>
      </c>
      <c r="F14" t="s">
        <v>101</v>
      </c>
    </row>
    <row r="15" spans="1:7">
      <c r="A15" t="s">
        <v>102</v>
      </c>
      <c r="B15" t="s">
        <v>103</v>
      </c>
      <c r="C15" t="s">
        <v>20</v>
      </c>
      <c r="D15" s="2">
        <f>('installation_market'!D8+'installation_market'!D13)</f>
        <v>34.0</v>
      </c>
      <c r="E15" t="s">
        <v>81</v>
      </c>
      <c r="F15" t="s">
        <v>104</v>
      </c>
    </row>
    <row r="16" spans="1:7">
      <c r="A16" t="s">
        <v>105</v>
      </c>
      <c r="B16" t="s">
        <v>106</v>
      </c>
      <c r="C16" t="s">
        <v>20</v>
      </c>
      <c r="D16" s="2">
        <f>('installation_market'!D10+'installation_market'!D14)</f>
        <v>85000000.0</v>
      </c>
      <c r="E16" t="s">
        <v>87</v>
      </c>
      <c r="F16" t="s">
        <v>107</v>
      </c>
      <c r="G16" t="s">
        <v>108</v>
      </c>
    </row>
    <row r="17" spans="1:7">
      <c r="A17" t="s">
        <v>109</v>
      </c>
      <c r="B17" t="s">
        <v>110</v>
      </c>
      <c r="C17" t="s">
        <v>20</v>
      </c>
      <c r="D17" s="2">
        <f>('installation_market'!D11*'installation_market'!D9)</f>
        <v>750000000.0</v>
      </c>
      <c r="E17" t="s">
        <v>10</v>
      </c>
      <c r="F17" t="s">
        <v>111</v>
      </c>
      <c r="G17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57.7109375" customWidth="1"/>
    <col min="3" max="3" width="12.7109375" customWidth="1"/>
    <col min="4" max="4" width="20.7109375" customWidth="1"/>
    <col min="5" max="5" width="15.7109375" customWidth="1"/>
    <col min="6" max="6" width="57.7109375" customWidth="1"/>
    <col min="7" max="7" width="10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113</v>
      </c>
      <c r="B2" t="s">
        <v>114</v>
      </c>
      <c r="C2" t="s">
        <v>9</v>
      </c>
      <c r="D2" s="1">
        <v>8000</v>
      </c>
      <c r="E2" t="s">
        <v>87</v>
      </c>
      <c r="G2" t="s">
        <v>115</v>
      </c>
    </row>
    <row r="3" spans="1:7">
      <c r="A3" t="s">
        <v>116</v>
      </c>
      <c r="B3" t="s">
        <v>117</v>
      </c>
      <c r="C3" t="s">
        <v>9</v>
      </c>
      <c r="D3" s="1">
        <v>10000</v>
      </c>
      <c r="E3" t="s">
        <v>87</v>
      </c>
      <c r="G3" t="s">
        <v>118</v>
      </c>
    </row>
    <row r="4" spans="1:7">
      <c r="A4" t="s">
        <v>119</v>
      </c>
      <c r="B4" t="s">
        <v>120</v>
      </c>
      <c r="C4" t="s">
        <v>9</v>
      </c>
      <c r="D4" s="1">
        <v>7000</v>
      </c>
      <c r="E4" t="s">
        <v>87</v>
      </c>
      <c r="G4" t="s">
        <v>121</v>
      </c>
    </row>
    <row r="5" spans="1:7">
      <c r="A5" t="s">
        <v>122</v>
      </c>
      <c r="B5" t="s">
        <v>123</v>
      </c>
      <c r="C5" t="s">
        <v>9</v>
      </c>
      <c r="D5" s="1">
        <v>5000</v>
      </c>
      <c r="E5" t="s">
        <v>87</v>
      </c>
      <c r="G5" t="s">
        <v>124</v>
      </c>
    </row>
    <row r="6" spans="1:7">
      <c r="A6" t="s">
        <v>125</v>
      </c>
      <c r="B6" t="s">
        <v>126</v>
      </c>
      <c r="C6" t="s">
        <v>20</v>
      </c>
      <c r="D6" s="2">
        <f>((('annual_service'!D2+'annual_service'!D3)+'annual_service'!D4)+'annual_service'!D5)</f>
        <v>30000.0</v>
      </c>
      <c r="E6" t="s">
        <v>87</v>
      </c>
      <c r="F6" t="s">
        <v>127</v>
      </c>
      <c r="G6" t="s">
        <v>128</v>
      </c>
    </row>
    <row r="7" spans="1:7">
      <c r="A7" t="s">
        <v>129</v>
      </c>
      <c r="B7" t="s">
        <v>130</v>
      </c>
      <c r="C7" t="s">
        <v>9</v>
      </c>
      <c r="D7" s="1">
        <v>50000</v>
      </c>
      <c r="E7" t="s">
        <v>87</v>
      </c>
      <c r="G7" t="s">
        <v>131</v>
      </c>
    </row>
    <row r="8" spans="1:7">
      <c r="A8" t="s">
        <v>132</v>
      </c>
      <c r="B8" t="s">
        <v>133</v>
      </c>
      <c r="C8" t="s">
        <v>9</v>
      </c>
      <c r="D8" s="3">
        <v>0.32</v>
      </c>
      <c r="E8" t="s">
        <v>31</v>
      </c>
      <c r="G8" t="s">
        <v>134</v>
      </c>
    </row>
    <row r="9" spans="1:7">
      <c r="A9" t="s">
        <v>135</v>
      </c>
      <c r="B9" t="s">
        <v>136</v>
      </c>
      <c r="C9" t="s">
        <v>20</v>
      </c>
      <c r="D9" s="2">
        <f>('annual_service'!D7*'annual_service'!D8)</f>
        <v>16000.0</v>
      </c>
      <c r="E9" t="s">
        <v>87</v>
      </c>
      <c r="F9" t="s">
        <v>137</v>
      </c>
    </row>
    <row r="10" spans="1:7">
      <c r="A10" t="s">
        <v>138</v>
      </c>
      <c r="B10" t="s">
        <v>139</v>
      </c>
      <c r="C10" t="s">
        <v>20</v>
      </c>
      <c r="D10" s="2">
        <f>('annual_service'!D7+'annual_service'!D9)</f>
        <v>66000.0</v>
      </c>
      <c r="E10" t="s">
        <v>87</v>
      </c>
      <c r="F10" t="s">
        <v>140</v>
      </c>
    </row>
    <row r="11" spans="1:7">
      <c r="A11" t="s">
        <v>141</v>
      </c>
      <c r="B11" t="s">
        <v>142</v>
      </c>
      <c r="C11" t="s">
        <v>9</v>
      </c>
      <c r="D11" s="3">
        <v>0.2</v>
      </c>
      <c r="E11" t="s">
        <v>31</v>
      </c>
      <c r="G11" t="s">
        <v>143</v>
      </c>
    </row>
    <row r="12" spans="1:7">
      <c r="A12" t="s">
        <v>144</v>
      </c>
      <c r="B12" t="s">
        <v>145</v>
      </c>
      <c r="C12" t="s">
        <v>20</v>
      </c>
      <c r="D12" s="2">
        <f>('annual_service'!D10*'annual_service'!D11)</f>
        <v>13200.0</v>
      </c>
      <c r="E12" t="s">
        <v>87</v>
      </c>
      <c r="F12" t="s">
        <v>146</v>
      </c>
    </row>
    <row r="13" spans="1:7">
      <c r="A13" t="s">
        <v>147</v>
      </c>
      <c r="B13" t="s">
        <v>148</v>
      </c>
      <c r="C13" t="s">
        <v>20</v>
      </c>
      <c r="D13" s="2">
        <f>('annual_service'!D10+'annual_service'!D12)</f>
        <v>79200.0</v>
      </c>
      <c r="E13" t="s">
        <v>87</v>
      </c>
      <c r="F13" t="s">
        <v>149</v>
      </c>
    </row>
    <row r="14" spans="1:7">
      <c r="A14" t="s">
        <v>150</v>
      </c>
      <c r="B14" t="s">
        <v>151</v>
      </c>
      <c r="C14" t="s">
        <v>9</v>
      </c>
      <c r="D14" s="1">
        <v>1000</v>
      </c>
      <c r="E14" t="s">
        <v>10</v>
      </c>
      <c r="G14" t="s">
        <v>152</v>
      </c>
    </row>
    <row r="15" spans="1:7">
      <c r="A15" t="s">
        <v>153</v>
      </c>
      <c r="B15" t="s">
        <v>154</v>
      </c>
      <c r="C15" t="s">
        <v>20</v>
      </c>
      <c r="D15" s="2">
        <f>(CEILING(('annual_service'!D13/'annual_service'!D14),1)*'annual_service'!D14)</f>
        <v>80000.0</v>
      </c>
      <c r="E15" t="s">
        <v>87</v>
      </c>
      <c r="F15" t="s">
        <v>155</v>
      </c>
    </row>
    <row r="16" spans="1:7">
      <c r="A16" t="s">
        <v>156</v>
      </c>
      <c r="B16" t="s">
        <v>157</v>
      </c>
      <c r="C16" t="s">
        <v>9</v>
      </c>
      <c r="D16" s="1">
        <v>1</v>
      </c>
      <c r="E16" t="s">
        <v>158</v>
      </c>
      <c r="G16" t="s">
        <v>159</v>
      </c>
    </row>
    <row r="17" spans="1:7">
      <c r="A17" t="s">
        <v>160</v>
      </c>
      <c r="B17" t="s">
        <v>161</v>
      </c>
      <c r="C17" t="s">
        <v>20</v>
      </c>
      <c r="D17" s="2">
        <f>('annual_service'!D15*'annual_service'!D16)</f>
        <v>80000.0</v>
      </c>
      <c r="E17" t="s">
        <v>87</v>
      </c>
      <c r="F17" t="s">
        <v>162</v>
      </c>
    </row>
    <row r="18" spans="1:7">
      <c r="A18" t="s">
        <v>163</v>
      </c>
      <c r="B18" t="s">
        <v>164</v>
      </c>
      <c r="C18" t="s">
        <v>9</v>
      </c>
      <c r="D18" s="1">
        <v>2000</v>
      </c>
      <c r="E18" t="s">
        <v>87</v>
      </c>
      <c r="G18" t="s">
        <v>165</v>
      </c>
    </row>
    <row r="19" spans="1:7">
      <c r="A19" t="s">
        <v>166</v>
      </c>
      <c r="B19" t="s">
        <v>167</v>
      </c>
      <c r="C19" t="s">
        <v>9</v>
      </c>
      <c r="D19" s="1">
        <v>1000</v>
      </c>
      <c r="E19" t="s">
        <v>87</v>
      </c>
      <c r="G19" t="s">
        <v>168</v>
      </c>
    </row>
    <row r="20" spans="1:7">
      <c r="A20" t="s">
        <v>169</v>
      </c>
      <c r="B20" t="s">
        <v>170</v>
      </c>
      <c r="C20" t="s">
        <v>9</v>
      </c>
      <c r="D20" s="1">
        <v>2000</v>
      </c>
      <c r="E20" t="s">
        <v>87</v>
      </c>
      <c r="G20" t="s">
        <v>171</v>
      </c>
    </row>
    <row r="21" spans="1:7">
      <c r="A21" t="s">
        <v>172</v>
      </c>
      <c r="B21" t="s">
        <v>173</v>
      </c>
      <c r="C21" t="s">
        <v>20</v>
      </c>
      <c r="D21" s="2">
        <f>(('annual_service'!D18+'annual_service'!D19)+'annual_service'!D20)</f>
        <v>5000.0</v>
      </c>
      <c r="E21" t="s">
        <v>87</v>
      </c>
      <c r="F21" t="s">
        <v>174</v>
      </c>
      <c r="G21" t="s">
        <v>175</v>
      </c>
    </row>
    <row r="22" spans="1:7">
      <c r="A22" t="s">
        <v>176</v>
      </c>
      <c r="B22" t="s">
        <v>177</v>
      </c>
      <c r="C22" t="s">
        <v>20</v>
      </c>
      <c r="D22" s="2">
        <f>(('annual_service'!D6+'annual_service'!D17)+'annual_service'!D21)</f>
        <v>115000.0</v>
      </c>
      <c r="E22" t="s">
        <v>87</v>
      </c>
      <c r="F22" t="s">
        <v>178</v>
      </c>
    </row>
    <row r="23" spans="1:7">
      <c r="A23" t="s">
        <v>179</v>
      </c>
      <c r="B23" t="s">
        <v>180</v>
      </c>
      <c r="C23" t="s">
        <v>9</v>
      </c>
      <c r="D23" s="3">
        <v>0.4</v>
      </c>
      <c r="E23" t="s">
        <v>31</v>
      </c>
      <c r="G23" t="s">
        <v>32</v>
      </c>
    </row>
    <row r="24" spans="1:7">
      <c r="A24" t="s">
        <v>181</v>
      </c>
      <c r="B24" t="s">
        <v>182</v>
      </c>
      <c r="C24" t="s">
        <v>20</v>
      </c>
      <c r="D24" s="2">
        <f>('annual_service'!D22/(1-'annual_service'!D23))</f>
        <v>191666.6666666667</v>
      </c>
      <c r="E24" t="s">
        <v>87</v>
      </c>
      <c r="F24" t="s">
        <v>183</v>
      </c>
    </row>
    <row r="25" spans="1:7">
      <c r="A25" t="s">
        <v>184</v>
      </c>
      <c r="B25" t="s">
        <v>185</v>
      </c>
      <c r="C25" t="s">
        <v>9</v>
      </c>
      <c r="D25" s="1">
        <v>250000</v>
      </c>
      <c r="E25" t="s">
        <v>87</v>
      </c>
      <c r="G25" t="s">
        <v>186</v>
      </c>
    </row>
    <row r="26" spans="1:7">
      <c r="A26" t="s">
        <v>187</v>
      </c>
      <c r="B26" t="s">
        <v>188</v>
      </c>
      <c r="C26" t="s">
        <v>20</v>
      </c>
      <c r="D26" s="2">
        <f>('annual_service'!D25-'annual_service'!D22)</f>
        <v>135000.0</v>
      </c>
      <c r="E26" t="s">
        <v>87</v>
      </c>
      <c r="F26" t="s">
        <v>189</v>
      </c>
      <c r="G26" t="s">
        <v>190</v>
      </c>
    </row>
    <row r="27" spans="1:7">
      <c r="A27" t="s">
        <v>191</v>
      </c>
      <c r="B27" t="s">
        <v>192</v>
      </c>
      <c r="C27" t="s">
        <v>20</v>
      </c>
      <c r="D27" s="4">
        <f>('annual_service'!D26/'annual_service'!D25)</f>
        <v>0.54</v>
      </c>
      <c r="E27" t="s">
        <v>31</v>
      </c>
      <c r="F27" t="s">
        <v>193</v>
      </c>
    </row>
    <row r="28" spans="1:7">
      <c r="A28" t="s">
        <v>194</v>
      </c>
      <c r="B28" t="s">
        <v>195</v>
      </c>
      <c r="C28" t="s">
        <v>20</v>
      </c>
      <c r="D28" s="4">
        <f>('annual_service'!D25/'installation'!D10)</f>
        <v>0.1</v>
      </c>
      <c r="E28" t="s">
        <v>31</v>
      </c>
      <c r="F28" t="s">
        <v>196</v>
      </c>
      <c r="G28" t="s">
        <v>197</v>
      </c>
    </row>
    <row r="29" spans="1:7">
      <c r="A29" t="s">
        <v>198</v>
      </c>
      <c r="B29" t="s">
        <v>199</v>
      </c>
      <c r="C29" t="s">
        <v>9</v>
      </c>
      <c r="D29" s="1">
        <v>200000</v>
      </c>
      <c r="E29" t="s">
        <v>87</v>
      </c>
      <c r="G29" t="s">
        <v>200</v>
      </c>
    </row>
    <row r="30" spans="1:7">
      <c r="A30" t="s">
        <v>201</v>
      </c>
      <c r="B30" t="s">
        <v>202</v>
      </c>
      <c r="C30" t="s">
        <v>20</v>
      </c>
      <c r="D30" s="4">
        <f>(('annual_service'!D29-'annual_service'!D22)/'annual_service'!D29)</f>
        <v>0.425</v>
      </c>
      <c r="E30" t="s">
        <v>31</v>
      </c>
      <c r="F30" t="s">
        <v>203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57.7109375" customWidth="1"/>
    <col min="3" max="3" width="12.7109375" customWidth="1"/>
    <col min="4" max="4" width="20.7109375" customWidth="1"/>
    <col min="5" max="5" width="15.7109375" customWidth="1"/>
    <col min="6" max="6" width="57.7109375" customWidth="1"/>
    <col min="7" max="7" width="10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204</v>
      </c>
      <c r="B2" t="s">
        <v>205</v>
      </c>
      <c r="C2" t="s">
        <v>20</v>
      </c>
      <c r="D2" s="2">
        <f>'annual_service'!D25</f>
        <v>250000.0</v>
      </c>
      <c r="E2" t="s">
        <v>87</v>
      </c>
      <c r="F2" t="s">
        <v>184</v>
      </c>
    </row>
    <row r="3" spans="1:7">
      <c r="A3" t="s">
        <v>206</v>
      </c>
      <c r="B3" t="s">
        <v>207</v>
      </c>
      <c r="C3" t="s">
        <v>20</v>
      </c>
      <c r="D3" s="2">
        <f>'annual_service'!D22</f>
        <v>115000.0</v>
      </c>
      <c r="E3" t="s">
        <v>87</v>
      </c>
      <c r="F3" t="s">
        <v>176</v>
      </c>
    </row>
    <row r="4" spans="1:7">
      <c r="A4" t="s">
        <v>208</v>
      </c>
      <c r="B4" t="s">
        <v>209</v>
      </c>
      <c r="C4" t="s">
        <v>20</v>
      </c>
      <c r="D4" s="2">
        <f>'annual_service'!D26</f>
        <v>135000.0</v>
      </c>
      <c r="E4" t="s">
        <v>87</v>
      </c>
      <c r="F4" t="s">
        <v>187</v>
      </c>
    </row>
    <row r="5" spans="1:7">
      <c r="A5" t="s">
        <v>210</v>
      </c>
      <c r="B5" t="s">
        <v>211</v>
      </c>
      <c r="C5" t="s">
        <v>9</v>
      </c>
      <c r="D5" s="1">
        <v>10</v>
      </c>
      <c r="E5" t="s">
        <v>212</v>
      </c>
      <c r="G5" t="s">
        <v>213</v>
      </c>
    </row>
    <row r="6" spans="1:7">
      <c r="A6" t="s">
        <v>214</v>
      </c>
      <c r="B6" t="s">
        <v>215</v>
      </c>
      <c r="C6" t="s">
        <v>20</v>
      </c>
      <c r="D6" s="2">
        <f>('recurring_market'!D5*'recurring_market'!D2)</f>
        <v>2500000.0</v>
      </c>
      <c r="E6" t="s">
        <v>87</v>
      </c>
      <c r="F6" t="s">
        <v>216</v>
      </c>
    </row>
    <row r="7" spans="1:7">
      <c r="A7" t="s">
        <v>217</v>
      </c>
      <c r="B7" t="s">
        <v>218</v>
      </c>
      <c r="C7" t="s">
        <v>20</v>
      </c>
      <c r="D7" s="2">
        <f>('recurring_market'!D5*'recurring_market'!D3)</f>
        <v>1150000.0</v>
      </c>
      <c r="E7" t="s">
        <v>87</v>
      </c>
      <c r="F7" t="s">
        <v>219</v>
      </c>
    </row>
    <row r="8" spans="1:7">
      <c r="A8" t="s">
        <v>220</v>
      </c>
      <c r="B8" t="s">
        <v>221</v>
      </c>
      <c r="C8" t="s">
        <v>20</v>
      </c>
      <c r="D8" s="2">
        <f>('recurring_market'!D5*'recurring_market'!D4)</f>
        <v>1350000.0</v>
      </c>
      <c r="E8" t="s">
        <v>87</v>
      </c>
      <c r="F8" t="s">
        <v>222</v>
      </c>
      <c r="G8" t="s">
        <v>223</v>
      </c>
    </row>
    <row r="9" spans="1:7">
      <c r="A9" t="s">
        <v>224</v>
      </c>
      <c r="B9" t="s">
        <v>225</v>
      </c>
      <c r="C9" t="s">
        <v>9</v>
      </c>
      <c r="D9" s="1">
        <v>100</v>
      </c>
      <c r="E9" t="s">
        <v>212</v>
      </c>
      <c r="G9" t="s">
        <v>213</v>
      </c>
    </row>
    <row r="10" spans="1:7">
      <c r="A10" t="s">
        <v>226</v>
      </c>
      <c r="B10" t="s">
        <v>227</v>
      </c>
      <c r="C10" t="s">
        <v>20</v>
      </c>
      <c r="D10" s="2">
        <f>('recurring_market'!D9*'recurring_market'!D2)</f>
        <v>25000000.0</v>
      </c>
      <c r="E10" t="s">
        <v>87</v>
      </c>
      <c r="F10" t="s">
        <v>228</v>
      </c>
    </row>
    <row r="11" spans="1:7">
      <c r="A11" t="s">
        <v>229</v>
      </c>
      <c r="B11" t="s">
        <v>230</v>
      </c>
      <c r="C11" t="s">
        <v>20</v>
      </c>
      <c r="D11" s="2">
        <f>('recurring_market'!D9*'recurring_market'!D3)</f>
        <v>11500000.0</v>
      </c>
      <c r="E11" t="s">
        <v>87</v>
      </c>
      <c r="F11" t="s">
        <v>231</v>
      </c>
    </row>
    <row r="12" spans="1:7">
      <c r="A12" t="s">
        <v>232</v>
      </c>
      <c r="B12" t="s">
        <v>233</v>
      </c>
      <c r="C12" t="s">
        <v>20</v>
      </c>
      <c r="D12" s="2">
        <f>('recurring_market'!D9*'recurring_market'!D4)</f>
        <v>13500000.0</v>
      </c>
      <c r="E12" t="s">
        <v>87</v>
      </c>
      <c r="F12" t="s">
        <v>234</v>
      </c>
      <c r="G12" t="s">
        <v>223</v>
      </c>
    </row>
    <row r="13" spans="1:7">
      <c r="A13" t="s">
        <v>235</v>
      </c>
      <c r="B13" t="s">
        <v>236</v>
      </c>
      <c r="C13" t="s">
        <v>9</v>
      </c>
      <c r="D13" s="1">
        <v>300</v>
      </c>
      <c r="E13" t="s">
        <v>212</v>
      </c>
      <c r="G13" t="s">
        <v>213</v>
      </c>
    </row>
    <row r="14" spans="1:7">
      <c r="A14" t="s">
        <v>237</v>
      </c>
      <c r="B14" t="s">
        <v>238</v>
      </c>
      <c r="C14" t="s">
        <v>20</v>
      </c>
      <c r="D14" s="2">
        <f>('recurring_market'!D13*'recurring_market'!D2)</f>
        <v>75000000.0</v>
      </c>
      <c r="E14" t="s">
        <v>87</v>
      </c>
      <c r="F14" t="s">
        <v>239</v>
      </c>
    </row>
    <row r="15" spans="1:7">
      <c r="A15" t="s">
        <v>240</v>
      </c>
      <c r="B15" t="s">
        <v>241</v>
      </c>
      <c r="C15" t="s">
        <v>20</v>
      </c>
      <c r="D15" s="2">
        <f>('recurring_market'!D13*'recurring_market'!D3)</f>
        <v>34500000.0</v>
      </c>
      <c r="E15" t="s">
        <v>87</v>
      </c>
      <c r="F15" t="s">
        <v>242</v>
      </c>
    </row>
    <row r="16" spans="1:7">
      <c r="A16" t="s">
        <v>243</v>
      </c>
      <c r="B16" t="s">
        <v>244</v>
      </c>
      <c r="C16" t="s">
        <v>20</v>
      </c>
      <c r="D16" s="2">
        <f>('recurring_market'!D13*'recurring_market'!D4)</f>
        <v>40500000.0</v>
      </c>
      <c r="E16" t="s">
        <v>87</v>
      </c>
      <c r="F16" t="s">
        <v>245</v>
      </c>
      <c r="G16" t="s">
        <v>223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57.7109375" customWidth="1"/>
    <col min="3" max="3" width="12.7109375" customWidth="1"/>
    <col min="4" max="4" width="20.7109375" customWidth="1"/>
    <col min="5" max="5" width="15.7109375" customWidth="1"/>
    <col min="6" max="6" width="57.7109375" customWidth="1"/>
    <col min="7" max="7" width="10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246</v>
      </c>
      <c r="B2" t="s">
        <v>247</v>
      </c>
      <c r="C2" t="s">
        <v>9</v>
      </c>
      <c r="D2" s="1">
        <v>2026</v>
      </c>
      <c r="E2" t="s">
        <v>61</v>
      </c>
    </row>
    <row r="3" spans="1:7">
      <c r="A3" t="s">
        <v>248</v>
      </c>
      <c r="B3" t="s">
        <v>249</v>
      </c>
      <c r="C3" t="s">
        <v>9</v>
      </c>
      <c r="D3" s="1">
        <v>300</v>
      </c>
      <c r="E3" t="s">
        <v>91</v>
      </c>
      <c r="G3" t="s">
        <v>250</v>
      </c>
    </row>
    <row r="4" spans="1:7">
      <c r="A4" t="s">
        <v>251</v>
      </c>
      <c r="B4" t="s">
        <v>252</v>
      </c>
      <c r="C4" t="s">
        <v>9</v>
      </c>
      <c r="D4" s="1">
        <v>10</v>
      </c>
      <c r="E4" t="s">
        <v>253</v>
      </c>
    </row>
    <row r="5" spans="1:7">
      <c r="A5" t="s">
        <v>254</v>
      </c>
      <c r="B5" t="s">
        <v>255</v>
      </c>
      <c r="C5" t="s">
        <v>9</v>
      </c>
      <c r="D5" s="1">
        <v>20</v>
      </c>
      <c r="E5" t="s">
        <v>253</v>
      </c>
    </row>
    <row r="6" spans="1:7">
      <c r="A6" t="s">
        <v>256</v>
      </c>
      <c r="B6" t="s">
        <v>257</v>
      </c>
      <c r="C6" t="s">
        <v>20</v>
      </c>
      <c r="D6" s="2">
        <f>('market_growth'!D2+'market_growth'!D4)</f>
        <v>2036.0</v>
      </c>
      <c r="E6" t="s">
        <v>61</v>
      </c>
      <c r="F6" t="s">
        <v>258</v>
      </c>
    </row>
    <row r="7" spans="1:7">
      <c r="A7" t="s">
        <v>259</v>
      </c>
      <c r="B7" t="s">
        <v>260</v>
      </c>
      <c r="C7" t="s">
        <v>20</v>
      </c>
      <c r="D7" s="2">
        <f>('market_growth'!D2+'market_growth'!D5)</f>
        <v>2046.0</v>
      </c>
      <c r="E7" t="s">
        <v>61</v>
      </c>
      <c r="F7" t="s">
        <v>261</v>
      </c>
    </row>
    <row r="8" spans="1:7">
      <c r="A8" t="s">
        <v>262</v>
      </c>
      <c r="B8" t="s">
        <v>263</v>
      </c>
      <c r="C8" t="s">
        <v>9</v>
      </c>
      <c r="D8" s="3">
        <v>0.03</v>
      </c>
      <c r="E8" t="s">
        <v>31</v>
      </c>
      <c r="G8" t="s">
        <v>264</v>
      </c>
    </row>
    <row r="9" spans="1:7">
      <c r="A9" t="s">
        <v>265</v>
      </c>
      <c r="B9" t="s">
        <v>266</v>
      </c>
      <c r="C9" t="s">
        <v>20</v>
      </c>
      <c r="D9" s="2">
        <f>('market_growth'!D3*((1+'market_growth'!D8)^'market_growth'!D4))</f>
        <v>403.1749138032367</v>
      </c>
      <c r="E9" t="s">
        <v>91</v>
      </c>
      <c r="F9" t="s">
        <v>267</v>
      </c>
    </row>
    <row r="10" spans="1:7">
      <c r="A10" t="s">
        <v>268</v>
      </c>
      <c r="B10" t="s">
        <v>269</v>
      </c>
      <c r="C10" t="s">
        <v>20</v>
      </c>
      <c r="D10" s="2">
        <f>ROUND('market_growth'!D9,0)</f>
        <v>403.0</v>
      </c>
      <c r="E10" t="s">
        <v>91</v>
      </c>
      <c r="F10" t="s">
        <v>270</v>
      </c>
    </row>
    <row r="11" spans="1:7">
      <c r="A11" t="s">
        <v>271</v>
      </c>
      <c r="B11" t="s">
        <v>272</v>
      </c>
      <c r="C11" t="s">
        <v>20</v>
      </c>
      <c r="D11" s="2">
        <f>('market_growth'!D3*((1+'market_growth'!D8)^'market_growth'!D5))</f>
        <v>541.8333704008245</v>
      </c>
      <c r="E11" t="s">
        <v>91</v>
      </c>
      <c r="F11" t="s">
        <v>273</v>
      </c>
    </row>
    <row r="12" spans="1:7">
      <c r="A12" t="s">
        <v>274</v>
      </c>
      <c r="B12" t="s">
        <v>275</v>
      </c>
      <c r="C12" t="s">
        <v>20</v>
      </c>
      <c r="D12" s="2">
        <f>ROUND('market_growth'!D11,0)</f>
        <v>542.0</v>
      </c>
      <c r="E12" t="s">
        <v>91</v>
      </c>
      <c r="F12" t="s">
        <v>276</v>
      </c>
    </row>
    <row r="13" spans="1:7">
      <c r="A13" t="s">
        <v>277</v>
      </c>
      <c r="B13" t="s">
        <v>278</v>
      </c>
      <c r="C13" t="s">
        <v>9</v>
      </c>
      <c r="D13" s="3">
        <v>0.05</v>
      </c>
      <c r="E13" t="s">
        <v>31</v>
      </c>
      <c r="G13" t="s">
        <v>264</v>
      </c>
    </row>
    <row r="14" spans="1:7">
      <c r="A14" t="s">
        <v>279</v>
      </c>
      <c r="B14" t="s">
        <v>280</v>
      </c>
      <c r="C14" t="s">
        <v>20</v>
      </c>
      <c r="D14" s="2">
        <f>('market_growth'!D3*((1+'market_growth'!D13)^'market_growth'!D4))</f>
        <v>488.6683880332326</v>
      </c>
      <c r="E14" t="s">
        <v>91</v>
      </c>
      <c r="F14" t="s">
        <v>281</v>
      </c>
    </row>
    <row r="15" spans="1:7">
      <c r="A15" t="s">
        <v>282</v>
      </c>
      <c r="B15" t="s">
        <v>283</v>
      </c>
      <c r="C15" t="s">
        <v>20</v>
      </c>
      <c r="D15" s="2">
        <f>ROUND('market_growth'!D14,0)</f>
        <v>489.0</v>
      </c>
      <c r="E15" t="s">
        <v>91</v>
      </c>
      <c r="F15" t="s">
        <v>284</v>
      </c>
    </row>
    <row r="16" spans="1:7">
      <c r="A16" t="s">
        <v>285</v>
      </c>
      <c r="B16" t="s">
        <v>286</v>
      </c>
      <c r="C16" t="s">
        <v>20</v>
      </c>
      <c r="D16" s="2">
        <f>('market_growth'!D3*((1+'market_growth'!D13)^'market_growth'!D5))</f>
        <v>795.9893115433266</v>
      </c>
      <c r="E16" t="s">
        <v>91</v>
      </c>
      <c r="F16" t="s">
        <v>287</v>
      </c>
    </row>
    <row r="17" spans="1:7">
      <c r="A17" t="s">
        <v>288</v>
      </c>
      <c r="B17" t="s">
        <v>289</v>
      </c>
      <c r="C17" t="s">
        <v>20</v>
      </c>
      <c r="D17" s="2">
        <f>ROUND('market_growth'!D16,0)</f>
        <v>796.0</v>
      </c>
      <c r="E17" t="s">
        <v>91</v>
      </c>
      <c r="F17" t="s">
        <v>290</v>
      </c>
    </row>
    <row r="18" spans="1:7">
      <c r="A18" t="s">
        <v>291</v>
      </c>
      <c r="B18" t="s">
        <v>292</v>
      </c>
      <c r="C18" t="s">
        <v>9</v>
      </c>
      <c r="D18" s="3">
        <v>0.07000000000000001</v>
      </c>
      <c r="E18" t="s">
        <v>31</v>
      </c>
      <c r="G18" t="s">
        <v>264</v>
      </c>
    </row>
    <row r="19" spans="1:7">
      <c r="A19" t="s">
        <v>293</v>
      </c>
      <c r="B19" t="s">
        <v>294</v>
      </c>
      <c r="C19" t="s">
        <v>20</v>
      </c>
      <c r="D19" s="2">
        <f>('market_growth'!D3*((1+'market_growth'!D18)^'market_growth'!D4))</f>
        <v>590.14540718687</v>
      </c>
      <c r="E19" t="s">
        <v>91</v>
      </c>
      <c r="F19" t="s">
        <v>295</v>
      </c>
    </row>
    <row r="20" spans="1:7">
      <c r="A20" t="s">
        <v>296</v>
      </c>
      <c r="B20" t="s">
        <v>297</v>
      </c>
      <c r="C20" t="s">
        <v>20</v>
      </c>
      <c r="D20" s="2">
        <f>ROUND('market_growth'!D19,0)</f>
        <v>590.0</v>
      </c>
      <c r="E20" t="s">
        <v>91</v>
      </c>
      <c r="F20" t="s">
        <v>298</v>
      </c>
    </row>
    <row r="21" spans="1:7">
      <c r="A21" t="s">
        <v>299</v>
      </c>
      <c r="B21" t="s">
        <v>300</v>
      </c>
      <c r="C21" t="s">
        <v>20</v>
      </c>
      <c r="D21" s="2">
        <f>('market_growth'!D3*((1+'market_growth'!D18)^'market_growth'!D5))</f>
        <v>1160.905338745855</v>
      </c>
      <c r="E21" t="s">
        <v>91</v>
      </c>
      <c r="F21" t="s">
        <v>301</v>
      </c>
    </row>
    <row r="22" spans="1:7">
      <c r="A22" t="s">
        <v>302</v>
      </c>
      <c r="B22" t="s">
        <v>303</v>
      </c>
      <c r="C22" t="s">
        <v>20</v>
      </c>
      <c r="D22" s="2">
        <f>ROUND('market_growth'!D21,0)</f>
        <v>1161.0</v>
      </c>
      <c r="E22" t="s">
        <v>91</v>
      </c>
      <c r="F22" t="s">
        <v>304</v>
      </c>
    </row>
    <row r="23" spans="1:7">
      <c r="A23" t="s">
        <v>305</v>
      </c>
      <c r="B23" t="s">
        <v>306</v>
      </c>
      <c r="C23" t="s">
        <v>9</v>
      </c>
      <c r="D23" s="1">
        <v>128</v>
      </c>
      <c r="E23" t="s">
        <v>307</v>
      </c>
      <c r="G23" t="s">
        <v>308</v>
      </c>
    </row>
    <row r="24" spans="1:7">
      <c r="A24" t="s">
        <v>309</v>
      </c>
      <c r="B24" t="s">
        <v>310</v>
      </c>
      <c r="C24" t="s">
        <v>9</v>
      </c>
      <c r="D24" s="1">
        <v>57</v>
      </c>
      <c r="E24" t="s">
        <v>91</v>
      </c>
      <c r="G24" t="s">
        <v>311</v>
      </c>
    </row>
    <row r="25" spans="1:7">
      <c r="A25" t="s">
        <v>312</v>
      </c>
      <c r="B25" t="s">
        <v>313</v>
      </c>
      <c r="C25" t="s">
        <v>9</v>
      </c>
      <c r="D25" s="1">
        <v>5</v>
      </c>
      <c r="E25" t="s">
        <v>91</v>
      </c>
      <c r="G25" t="s">
        <v>314</v>
      </c>
    </row>
    <row r="26" spans="1:7">
      <c r="A26" t="s">
        <v>315</v>
      </c>
      <c r="B26" t="s">
        <v>316</v>
      </c>
      <c r="C26" t="s">
        <v>9</v>
      </c>
      <c r="D26" s="3">
        <v>0.31</v>
      </c>
      <c r="E26" t="s">
        <v>31</v>
      </c>
      <c r="G26" t="s">
        <v>317</v>
      </c>
    </row>
    <row r="27" spans="1:7">
      <c r="A27" t="s">
        <v>318</v>
      </c>
      <c r="B27" t="s">
        <v>319</v>
      </c>
      <c r="C27" t="s">
        <v>20</v>
      </c>
      <c r="D27" s="2">
        <f>ROUND(('market_growth'!D25/'market_growth'!D26),0)</f>
        <v>16.0</v>
      </c>
      <c r="E27" t="s">
        <v>91</v>
      </c>
      <c r="F27" t="s">
        <v>320</v>
      </c>
    </row>
    <row r="28" spans="1:7">
      <c r="A28" t="s">
        <v>321</v>
      </c>
      <c r="B28" t="s">
        <v>322</v>
      </c>
      <c r="C28" t="s">
        <v>9</v>
      </c>
      <c r="D28" s="1">
        <v>46</v>
      </c>
      <c r="E28" t="s">
        <v>323</v>
      </c>
      <c r="G28" t="s">
        <v>324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57.7109375" customWidth="1"/>
    <col min="3" max="3" width="12.7109375" customWidth="1"/>
    <col min="4" max="4" width="20.7109375" customWidth="1"/>
    <col min="5" max="5" width="15.7109375" customWidth="1"/>
    <col min="6" max="6" width="57.7109375" customWidth="1"/>
    <col min="7" max="7" width="10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325</v>
      </c>
      <c r="B2" t="s">
        <v>326</v>
      </c>
      <c r="C2" t="s">
        <v>20</v>
      </c>
      <c r="D2" s="2">
        <f>'installation'!D10</f>
        <v>2500000.0</v>
      </c>
      <c r="E2" t="s">
        <v>10</v>
      </c>
      <c r="F2" t="s">
        <v>36</v>
      </c>
    </row>
    <row r="3" spans="1:7">
      <c r="A3" t="s">
        <v>327</v>
      </c>
      <c r="B3" t="s">
        <v>185</v>
      </c>
      <c r="C3" t="s">
        <v>20</v>
      </c>
      <c r="D3" s="2">
        <f>'annual_service'!D25</f>
        <v>250000.0</v>
      </c>
      <c r="E3" t="s">
        <v>87</v>
      </c>
      <c r="F3" t="s">
        <v>184</v>
      </c>
    </row>
    <row r="4" spans="1:7">
      <c r="A4" t="s">
        <v>328</v>
      </c>
      <c r="B4" t="s">
        <v>329</v>
      </c>
      <c r="C4" t="s">
        <v>20</v>
      </c>
      <c r="D4" s="2">
        <f>('market_growth'!D14-'market_growth'!D3)</f>
        <v>188.6683880332326</v>
      </c>
      <c r="E4" t="s">
        <v>91</v>
      </c>
      <c r="F4" t="s">
        <v>330</v>
      </c>
    </row>
    <row r="5" spans="1:7">
      <c r="A5" t="s">
        <v>331</v>
      </c>
      <c r="B5" t="s">
        <v>332</v>
      </c>
      <c r="C5" t="s">
        <v>20</v>
      </c>
      <c r="D5" s="2">
        <f>ROUND('argos_market'!D4,0)</f>
        <v>189.0</v>
      </c>
      <c r="E5" t="s">
        <v>91</v>
      </c>
      <c r="F5" t="s">
        <v>333</v>
      </c>
    </row>
    <row r="6" spans="1:7">
      <c r="A6" t="s">
        <v>334</v>
      </c>
      <c r="B6" t="s">
        <v>335</v>
      </c>
      <c r="C6" t="s">
        <v>20</v>
      </c>
      <c r="D6" s="2">
        <f>('argos_market'!D4*'argos_market'!D2)</f>
        <v>471670970.0830815</v>
      </c>
      <c r="E6" t="s">
        <v>10</v>
      </c>
      <c r="F6" t="s">
        <v>336</v>
      </c>
      <c r="G6" t="s">
        <v>337</v>
      </c>
    </row>
    <row r="7" spans="1:7">
      <c r="A7" t="s">
        <v>338</v>
      </c>
      <c r="B7" t="s">
        <v>339</v>
      </c>
      <c r="C7" t="s">
        <v>20</v>
      </c>
      <c r="D7" s="2">
        <f>('market_growth'!D14*'argos_market'!D3)</f>
        <v>122167097.00830814</v>
      </c>
      <c r="E7" t="s">
        <v>87</v>
      </c>
      <c r="F7" t="s">
        <v>340</v>
      </c>
      <c r="G7" t="s">
        <v>341</v>
      </c>
    </row>
    <row r="8" spans="1:7">
      <c r="A8" t="s">
        <v>342</v>
      </c>
      <c r="B8" t="s">
        <v>329</v>
      </c>
      <c r="C8" t="s">
        <v>20</v>
      </c>
      <c r="D8" s="2">
        <f>('market_growth'!D16-'market_growth'!D3)</f>
        <v>495.9893115433266</v>
      </c>
      <c r="E8" t="s">
        <v>91</v>
      </c>
      <c r="F8" t="s">
        <v>343</v>
      </c>
    </row>
    <row r="9" spans="1:7">
      <c r="A9" t="s">
        <v>344</v>
      </c>
      <c r="B9" t="s">
        <v>332</v>
      </c>
      <c r="C9" t="s">
        <v>20</v>
      </c>
      <c r="D9" s="2">
        <f>ROUND('argos_market'!D8,0)</f>
        <v>496.0</v>
      </c>
      <c r="E9" t="s">
        <v>91</v>
      </c>
      <c r="F9" t="s">
        <v>345</v>
      </c>
    </row>
    <row r="10" spans="1:7">
      <c r="A10" t="s">
        <v>346</v>
      </c>
      <c r="B10" t="s">
        <v>335</v>
      </c>
      <c r="C10" t="s">
        <v>20</v>
      </c>
      <c r="D10" s="2">
        <f>('argos_market'!D8*'argos_market'!D2)</f>
        <v>1239973278.8583164</v>
      </c>
      <c r="E10" t="s">
        <v>10</v>
      </c>
      <c r="F10" t="s">
        <v>347</v>
      </c>
      <c r="G10" t="s">
        <v>337</v>
      </c>
    </row>
    <row r="11" spans="1:7">
      <c r="A11" t="s">
        <v>348</v>
      </c>
      <c r="B11" t="s">
        <v>339</v>
      </c>
      <c r="C11" t="s">
        <v>20</v>
      </c>
      <c r="D11" s="2">
        <f>('market_growth'!D16*'argos_market'!D3)</f>
        <v>198997327.88583165</v>
      </c>
      <c r="E11" t="s">
        <v>87</v>
      </c>
      <c r="F11" t="s">
        <v>349</v>
      </c>
      <c r="G11" t="s">
        <v>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installation</vt:lpstr>
      <vt:lpstr>installation_market</vt:lpstr>
      <vt:lpstr>annual_service</vt:lpstr>
      <vt:lpstr>recurring_market</vt:lpstr>
      <vt:lpstr>market_growth</vt:lpstr>
      <vt:lpstr>argos_market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ARGOS installation and service economics</dc:title>
  <dc:creator/>
  <dc:description>Generated from CSV tables. Edit CSV, then regenerate.</dc:description>
  <cp:lastModifiedBy/>
  <dcterms:created xsi:type="dcterms:W3CDTF">2026-09-13T19:18:43Z</dcterms:created>
  <dcterms:modified xsi:type="dcterms:W3CDTF">2026-09-13T19:18:43Z</dcterms:modified>
</cp:coreProperties>
</file>