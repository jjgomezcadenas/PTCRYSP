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llation" sheetId="1" r:id="rId1"/>
    <sheet name="installation_market" sheetId="2" r:id="rId2"/>
    <sheet name="annual_service" sheetId="3" r:id="rId3"/>
    <sheet name="recurring_market" sheetId="4" r:id="rId4"/>
    <sheet name="market_growth" sheetId="5" r:id="rId5"/>
    <sheet name="argos_market" sheetId="6" r:id="rId6"/>
    <sheet name="costs-reduced" sheetId="7" r:id="rId7"/>
    <sheet name="startup_team" sheetId="8" r:id="rId8"/>
    <sheet name="startup_programme" sheetId="9" r:id="rId9"/>
  </sheets>
  <calcPr calcId="124519" fullCalcOnLoad="1"/>
</workbook>
</file>

<file path=xl/sharedStrings.xml><?xml version="1.0" encoding="utf-8"?>
<sst xmlns="http://schemas.openxmlformats.org/spreadsheetml/2006/main" count="1283" uniqueCount="657">
  <si>
    <t>ID</t>
  </si>
  <si>
    <t>Item</t>
  </si>
  <si>
    <t>Kind</t>
  </si>
  <si>
    <t>Value</t>
  </si>
  <si>
    <t>Unit</t>
  </si>
  <si>
    <t>Calculation</t>
  </si>
  <si>
    <t>Assumption / source</t>
  </si>
  <si>
    <t>pet_raw</t>
  </si>
  <si>
    <t>PET ring, BGO monolithic, 600 mm bore, 300 mm length</t>
  </si>
  <si>
    <t>Input</t>
  </si>
  <si>
    <t>EUR</t>
  </si>
  <si>
    <t>Crystal, SiPMs and electronics from the scanner cost model (figs/scanner_totals.png, BGO, D = 600 mm, L = 300 mm). Materials cost, not selling price.</t>
  </si>
  <si>
    <t>camera_raw</t>
  </si>
  <si>
    <t>Compton camera</t>
  </si>
  <si>
    <t>COCOA design: liquid-scintillator scatterer read by wavelength-shifting fibres, absorber with a few monolithic crystals; cost dominated by fibres, SiPMs and electronics.</t>
  </si>
  <si>
    <t>cryo_raw</t>
  </si>
  <si>
    <t>Cryogenic system, -80 C</t>
  </si>
  <si>
    <t>BGO ring operated at about -80 C; chiller-class cooling, no liquid nitrogen. Project estimate, pending supplier quotes.</t>
  </si>
  <si>
    <t>raw_budget</t>
  </si>
  <si>
    <t>Complete raw hardware budget</t>
  </si>
  <si>
    <t>Derived</t>
  </si>
  <si>
    <t>pet_raw+camera_raw+cryo_raw</t>
  </si>
  <si>
    <t>Sum of PET ring, camera and cryogenics. Computing is budgeted in the delivery line.</t>
  </si>
  <si>
    <t>delivery_extra</t>
  </si>
  <si>
    <t>Assembly, integration, computing, installation, validation and warranty</t>
  </si>
  <si>
    <t>Allowance for assembly and test of the module ring, on-site installation and commissioning with acceptance tests, workstations and DAQ computing, and warranty. Excludes central product development and major building works.</t>
  </si>
  <si>
    <t>delivered_cost</t>
  </si>
  <si>
    <t>Total delivered cost</t>
  </si>
  <si>
    <t>raw_budget+delivery_extra</t>
  </si>
  <si>
    <t>installation_target_margin</t>
  </si>
  <si>
    <t>Target gross margin</t>
  </si>
  <si>
    <t>fraction</t>
  </si>
  <si>
    <t>Historical 40% pricing reference; current commercial price is an independent input.</t>
  </si>
  <si>
    <t>installation_target_price</t>
  </si>
  <si>
    <t>Price at target margin</t>
  </si>
  <si>
    <t>delivered_cost/(1-installation_target_margin)</t>
  </si>
  <si>
    <t>installation_price</t>
  </si>
  <si>
    <t>Installed system price</t>
  </si>
  <si>
    <t>Excludes VAT; includes initial software licence and standard commissioning.</t>
  </si>
  <si>
    <t>first_year_service</t>
  </si>
  <si>
    <t>First service year included with the system</t>
  </si>
  <si>
    <t>free_year_cost</t>
  </si>
  <si>
    <t>Specialist and local software for the included year; hardware under warranty.</t>
  </si>
  <si>
    <t>system_total_cost</t>
  </si>
  <si>
    <t>Total cost including the first service year</t>
  </si>
  <si>
    <t>delivered_cost+first_year_service</t>
  </si>
  <si>
    <t>installation_profit</t>
  </si>
  <si>
    <t>Gross profit per installation</t>
  </si>
  <si>
    <t>installation_price-system_total_cost</t>
  </si>
  <si>
    <t>After delivered cost and the included first service year. Before central software engineering, R&amp;D, regulatory programme, sales and corporate overhead.</t>
  </si>
  <si>
    <t>installation_margin</t>
  </si>
  <si>
    <t>Actual gross margin</t>
  </si>
  <si>
    <t>installation_profit/installation_price</t>
  </si>
  <si>
    <t>sens_cost_mid</t>
  </si>
  <si>
    <t>Sensitivity: delivered cost, mid case</t>
  </si>
  <si>
    <t>Illustrative overrun case for the margin sensitivity line; not a forecast.</t>
  </si>
  <si>
    <t>sens_margin_mid</t>
  </si>
  <si>
    <t>Sensitivity: gross margin, mid case</t>
  </si>
  <si>
    <t>(installation_price-sens_cost_mid-first_year_service)/installation_price</t>
  </si>
  <si>
    <t>Includes the first service year.</t>
  </si>
  <si>
    <t>sens_cost_high</t>
  </si>
  <si>
    <t>Sensitivity: delivered cost, high case</t>
  </si>
  <si>
    <t>sens_margin_high</t>
  </si>
  <si>
    <t>Sensitivity: gross margin, high case</t>
  </si>
  <si>
    <t>(installation_price-sens_cost_high-first_year_service)/installation_price</t>
  </si>
  <si>
    <t>backup_pet_raw</t>
  </si>
  <si>
    <t>Backup PET ring, CsI(Tl) monolithic, same geometry, room temperature</t>
  </si>
  <si>
    <t>Scanner cost model, CsI, D = 600 mm, L = 300 mm. No cryogenics. No dependence on BGO supply, which is concentrated in China.</t>
  </si>
  <si>
    <t>backup_raw_budget</t>
  </si>
  <si>
    <t>Backup raw hardware budget</t>
  </si>
  <si>
    <t>backup_pet_raw+camera_raw</t>
  </si>
  <si>
    <t>CsI(Tl) ring plus Compton camera; no cryogenic system.</t>
  </si>
  <si>
    <t>backup_delivered_cost</t>
  </si>
  <si>
    <t>Backup delivered cost</t>
  </si>
  <si>
    <t>backup_raw_budget+delivery_extra</t>
  </si>
  <si>
    <t>Same delivery allowance as the baseline.</t>
  </si>
  <si>
    <t>backup_saving</t>
  </si>
  <si>
    <t>Backup delivered-cost saving</t>
  </si>
  <si>
    <t>delivered_cost-backup_delivered_cost</t>
  </si>
  <si>
    <t>Ring cost difference plus avoided cryogenics.</t>
  </si>
  <si>
    <t>installation_example_count</t>
  </si>
  <si>
    <t>Illustrative installed systems</t>
  </si>
  <si>
    <t>systems</t>
  </si>
  <si>
    <t>Volume conversion, not a forecast.</t>
  </si>
  <si>
    <t>installation_example_revenue</t>
  </si>
  <si>
    <t>Revenue at illustrative volume</t>
  </si>
  <si>
    <t>installation_example_count*installation_price</t>
  </si>
  <si>
    <t>room_order_year</t>
  </si>
  <si>
    <t>Room order reference year</t>
  </si>
  <si>
    <t>year</t>
  </si>
  <si>
    <t>https://www.iba-worldwide.com/sites/default/files/2026-03/iba-fy25-results-presentation-en.pdf (p. 13)</t>
  </si>
  <si>
    <t>iba_orders</t>
  </si>
  <si>
    <t>IBA room orders</t>
  </si>
  <si>
    <t>rooms/year</t>
  </si>
  <si>
    <t>iba_share</t>
  </si>
  <si>
    <t>IBA share of room orders</t>
  </si>
  <si>
    <t>https://www.iba-worldwide.com/sites/default/files/2026-03/iba-fy25-results-presentation-en.pdf (p. 13); reported share is rounded.</t>
  </si>
  <si>
    <t>global_orders_estimate</t>
  </si>
  <si>
    <t>Global room order estimate</t>
  </si>
  <si>
    <t>iba_orders/iba_share</t>
  </si>
  <si>
    <t>global_orders</t>
  </si>
  <si>
    <t>Rounded global room order basis</t>
  </si>
  <si>
    <t>round(global_orders_estimate,0)</t>
  </si>
  <si>
    <t>Round before market calculation to recover the agreed 19-room scenario.</t>
  </si>
  <si>
    <t>new_adoption</t>
  </si>
  <si>
    <t>Monitoring uptake in new rooms</t>
  </si>
  <si>
    <t>Full-uptake scenario, not observed adoption. Orders assumed to translate to deliveries at a sustained annual rate.</t>
  </si>
  <si>
    <t>new_systems</t>
  </si>
  <si>
    <t>New-room monitoring systems</t>
  </si>
  <si>
    <t>systems/year</t>
  </si>
  <si>
    <t>global_orders*new_adoption</t>
  </si>
  <si>
    <t>market_ticket</t>
  </si>
  <si>
    <t>Installed-system selling price</t>
  </si>
  <si>
    <t>new_revenue</t>
  </si>
  <si>
    <t>New-room annual system market</t>
  </si>
  <si>
    <t>EUR/year</t>
  </si>
  <si>
    <t>new_systems*market_ticket</t>
  </si>
  <si>
    <t>eligible_rooms</t>
  </si>
  <si>
    <t>Eligible existing rooms</t>
  </si>
  <si>
    <t>rooms</t>
  </si>
  <si>
    <t>Scenario assumption, not a verified installed-base count; compatibility must be validated.</t>
  </si>
  <si>
    <t>retrofit_adoption</t>
  </si>
  <si>
    <t>Annual retrofit uptake</t>
  </si>
  <si>
    <t>Scenario assumption.</t>
  </si>
  <si>
    <t>retrofit_systems</t>
  </si>
  <si>
    <t>Annual retrofit systems</t>
  </si>
  <si>
    <t>eligible_rooms*retrofit_adoption</t>
  </si>
  <si>
    <t>retrofit_revenue</t>
  </si>
  <si>
    <t>Annual retrofit system market</t>
  </si>
  <si>
    <t>retrofit_systems*market_ticket</t>
  </si>
  <si>
    <t>annual_systems</t>
  </si>
  <si>
    <t>Combined annual installations</t>
  </si>
  <si>
    <t>new_systems+retrofit_systems</t>
  </si>
  <si>
    <t>annual_market</t>
  </si>
  <si>
    <t>Combined annual system market</t>
  </si>
  <si>
    <t>new_revenue+retrofit_revenue</t>
  </si>
  <si>
    <t>Addressable scenario, not company revenue or gross profit.</t>
  </si>
  <si>
    <t>base_potential</t>
  </si>
  <si>
    <t>One-time eligible installed-base potential</t>
  </si>
  <si>
    <t>eligible_rooms*market_ticket</t>
  </si>
  <si>
    <t>Stock opportunity, not annual revenue; not added to annual market.</t>
  </si>
  <si>
    <t>cryocooler_service</t>
  </si>
  <si>
    <t>Cryocooler and compressor maintenance reserve</t>
  </si>
  <si>
    <t>Provisional allocation within agreed EUR 30k; no routine liquid nitrogen purchases.</t>
  </si>
  <si>
    <t>hardware_spares</t>
  </si>
  <si>
    <t>Detector, electronics and computing spares</t>
  </si>
  <si>
    <t>Provisional allowance; major replacements excluded.</t>
  </si>
  <si>
    <t>hardware_calibration</t>
  </si>
  <si>
    <t>Calibration and performance verification</t>
  </si>
  <si>
    <t>Includes service technician labour, distinct from monitoring staff.</t>
  </si>
  <si>
    <t>hardware_travel</t>
  </si>
  <si>
    <t>Service travel and transport</t>
  </si>
  <si>
    <t>Provisional allowance.</t>
  </si>
  <si>
    <t>hardware_annual</t>
  </si>
  <si>
    <t>Hardware maintenance total</t>
  </si>
  <si>
    <t>cryocooler_service+hardware_spares+hardware_calibration+hardware_travel</t>
  </si>
  <si>
    <t>Agreed baseline EUR 30k; supplier validation remains outstanding.</t>
  </si>
  <si>
    <t>salary</t>
  </si>
  <si>
    <t>Dedicated monitoring specialist gross salary</t>
  </si>
  <si>
    <t>Physicist-level profile; Spanish hiring baseline. One working shift; next-fraction verdicts batched to the morning.</t>
  </si>
  <si>
    <t>employer_rate</t>
  </si>
  <si>
    <t>Employer contribution allowance</t>
  </si>
  <si>
    <t>Approximation based on Spanish contributions; exact payroll depends on classification. https://www.seg-social.es/wps/portal/wss/internet/Trabajadores/CotizacionRecaudacionTrabajadores/10721/10957/583?changeLanguage=es</t>
  </si>
  <si>
    <t>employer_cost</t>
  </si>
  <si>
    <t>Employer contributions</t>
  </si>
  <si>
    <t>salary*employer_rate</t>
  </si>
  <si>
    <t>employee_cost</t>
  </si>
  <si>
    <t>Dedicated employee loaded cost</t>
  </si>
  <si>
    <t>salary+employer_cost</t>
  </si>
  <si>
    <t>relief_rate</t>
  </si>
  <si>
    <t>Relief coverage allowance</t>
  </si>
  <si>
    <t>Budget provision for leave, sickness and training; requires actual qualified cover. One working shift only.</t>
  </si>
  <si>
    <t>relief_cost</t>
  </si>
  <si>
    <t>Relief coverage cost</t>
  </si>
  <si>
    <t>employee_cost*relief_rate</t>
  </si>
  <si>
    <t>personnel_unrounded</t>
  </si>
  <si>
    <t>Personnel cost before budget rounding</t>
  </si>
  <si>
    <t>employee_cost+relief_cost</t>
  </si>
  <si>
    <t>personnel_rounding</t>
  </si>
  <si>
    <t>Personnel rounding increment</t>
  </si>
  <si>
    <t>Round up to this increment.</t>
  </si>
  <si>
    <t>personnel_spain</t>
  </si>
  <si>
    <t>Rounded Spain personnel budget</t>
  </si>
  <si>
    <t>ceil(personnel_unrounded/personnel_rounding)*personnel_rounding</t>
  </si>
  <si>
    <t>country_factor</t>
  </si>
  <si>
    <t>Personnel country correction factor</t>
  </si>
  <si>
    <t>factor</t>
  </si>
  <si>
    <t>Spain baseline; adjust for other markets. Applied only to personnel, not hardware/software.</t>
  </si>
  <si>
    <t>personnel_annual</t>
  </si>
  <si>
    <t>Country-adjusted personnel budget</t>
  </si>
  <si>
    <t>personnel_spain*country_factor</t>
  </si>
  <si>
    <t>software_remote</t>
  </si>
  <si>
    <t>Secure remote access and monitoring</t>
  </si>
  <si>
    <t>Non-personnel allowance; local installation.</t>
  </si>
  <si>
    <t>software_backup</t>
  </si>
  <si>
    <t>Backup software and security certificates</t>
  </si>
  <si>
    <t>Non-personnel allowance.</t>
  </si>
  <si>
    <t>software_licences</t>
  </si>
  <si>
    <t>Third-party licences and contingency</t>
  </si>
  <si>
    <t>Non-personnel allowance; no cloud reconstruction or hosting.</t>
  </si>
  <si>
    <t>software_annual</t>
  </si>
  <si>
    <t>Software operating expenses</t>
  </si>
  <si>
    <t>software_remote+software_backup+software_licences</t>
  </si>
  <si>
    <t>Hardware purchased at installation. Hospital supplies electricity/networking. Central software engineer excluded here and budgeted at company level.</t>
  </si>
  <si>
    <t>liability_annual</t>
  </si>
  <si>
    <t>Liability insurance and post-market surveillance</t>
  </si>
  <si>
    <t>Product liability cover and post-market surveillance obligations for decision-support software under the Medical Device Regulation. Allowance within the 10-20 k EUR range agreed 2026-09-14.</t>
  </si>
  <si>
    <t>service_cost</t>
  </si>
  <si>
    <t>Direct annual service cost</t>
  </si>
  <si>
    <t>hardware_annual+personnel_annual+software_annual+liability_annual</t>
  </si>
  <si>
    <t>service_target_margin</t>
  </si>
  <si>
    <t>Target service gross margin</t>
  </si>
  <si>
    <t>service_target_price</t>
  </si>
  <si>
    <t>Annual price at target margin</t>
  </si>
  <si>
    <t>service_cost/(1-service_target_margin)</t>
  </si>
  <si>
    <t>service_price</t>
  </si>
  <si>
    <t>Annual service fee</t>
  </si>
  <si>
    <t>Agreed 2026-09-14: 5-year contract with ARGOS specialist on site, training of hospital personnel and handover of operation at the end of the term. Excludes VAT.</t>
  </si>
  <si>
    <t>service_profit</t>
  </si>
  <si>
    <t>Gross profit per annual contract</t>
  </si>
  <si>
    <t>service_price-service_cost</t>
  </si>
  <si>
    <t>Before central engineer, expert escalation, management and other company expenses.</t>
  </si>
  <si>
    <t>service_margin</t>
  </si>
  <si>
    <t>Actual service gross margin</t>
  </si>
  <si>
    <t>service_profit/service_price</t>
  </si>
  <si>
    <t>free_years</t>
  </si>
  <si>
    <t>Service years included with the system</t>
  </si>
  <si>
    <t>years</t>
  </si>
  <si>
    <t>Agreed 2026-09-14: first year of service included in the system price; the paid contract starts afterwards.</t>
  </si>
  <si>
    <t>Direct cost of the included service year</t>
  </si>
  <si>
    <t>personnel_annual+software_annual+liability_annual</t>
  </si>
  <si>
    <t>Specialist, local software and liability cover; hardware maintenance in year one is covered by the installation warranty.</t>
  </si>
  <si>
    <t>contract_years</t>
  </si>
  <si>
    <t>Contract term</t>
  </si>
  <si>
    <t>Paid full-service term starting after the included year; operation handed over to trained hospital personnel afterwards.</t>
  </si>
  <si>
    <t>onsite_years</t>
  </si>
  <si>
    <t>Years with ARGOS specialist on site</t>
  </si>
  <si>
    <t>free_years+contract_years</t>
  </si>
  <si>
    <t>contract_value</t>
  </si>
  <si>
    <t>Full-service contract value</t>
  </si>
  <si>
    <t>service_price*contract_years</t>
  </si>
  <si>
    <t>Revenue over the contract term, excluding VAT.</t>
  </si>
  <si>
    <t>contract_profit</t>
  </si>
  <si>
    <t>Gross profit over the contract term</t>
  </si>
  <si>
    <t>service_profit*contract_years</t>
  </si>
  <si>
    <t>post_fee</t>
  </si>
  <si>
    <t>Hardware maintenance fee after handover</t>
  </si>
  <si>
    <t>Agreed 2026-09-14. Hardware maintenance only; ARGOS remains manufacturer of the software.</t>
  </si>
  <si>
    <t>post_cost</t>
  </si>
  <si>
    <t>Direct cost after handover</t>
  </si>
  <si>
    <t>Hardware maintenance lines only.</t>
  </si>
  <si>
    <t>post_profit</t>
  </si>
  <si>
    <t>Gross profit after handover</t>
  </si>
  <si>
    <t>post_fee-post_cost</t>
  </si>
  <si>
    <t>post_margin</t>
  </si>
  <si>
    <t>Gross margin after handover</t>
  </si>
  <si>
    <t>post_profit/post_fee</t>
  </si>
  <si>
    <t>service_price_ratio</t>
  </si>
  <si>
    <t>Annual fee as share of system selling price</t>
  </si>
  <si>
    <t>service_price/installation_price</t>
  </si>
  <si>
    <t>Comparison with selling price, not manufacturing cost.</t>
  </si>
  <si>
    <t>recurring_price</t>
  </si>
  <si>
    <t>Annual contract price</t>
  </si>
  <si>
    <t>recurring_cost</t>
  </si>
  <si>
    <t>Annual direct cost per contract</t>
  </si>
  <si>
    <t>recurring_profit</t>
  </si>
  <si>
    <t>Annual gross profit per contract</t>
  </si>
  <si>
    <t>small_contracts</t>
  </si>
  <si>
    <t>Small scenario: active paying contracts</t>
  </si>
  <si>
    <t>contracts</t>
  </si>
  <si>
    <t>Annual steady-state illustration, not a ramp forecast or market-share claim; all contracts active for a full year.</t>
  </si>
  <si>
    <t>small_revenue</t>
  </si>
  <si>
    <t>Small scenario: annual recurring revenue</t>
  </si>
  <si>
    <t>small_contracts*recurring_price</t>
  </si>
  <si>
    <t>small_cost</t>
  </si>
  <si>
    <t>Small scenario: annual direct cost</t>
  </si>
  <si>
    <t>small_contracts*recurring_cost</t>
  </si>
  <si>
    <t>small_profit</t>
  </si>
  <si>
    <t>Small scenario: annual gross profit</t>
  </si>
  <si>
    <t>small_contracts*recurring_profit</t>
  </si>
  <si>
    <t>Central company operating expenses excluded; not operating profit.</t>
  </si>
  <si>
    <t>medium_contracts</t>
  </si>
  <si>
    <t>Medium scenario: active paying contracts</t>
  </si>
  <si>
    <t>medium_revenue</t>
  </si>
  <si>
    <t>Medium scenario: annual recurring revenue</t>
  </si>
  <si>
    <t>medium_contracts*recurring_price</t>
  </si>
  <si>
    <t>medium_cost</t>
  </si>
  <si>
    <t>Medium scenario: annual direct cost</t>
  </si>
  <si>
    <t>medium_contracts*recurring_cost</t>
  </si>
  <si>
    <t>medium_profit</t>
  </si>
  <si>
    <t>Medium scenario: annual gross profit</t>
  </si>
  <si>
    <t>medium_contracts*recurring_profit</t>
  </si>
  <si>
    <t>large_contracts</t>
  </si>
  <si>
    <t>Large scenario: active paying contracts</t>
  </si>
  <si>
    <t>large_revenue</t>
  </si>
  <si>
    <t>Large scenario: annual recurring revenue</t>
  </si>
  <si>
    <t>large_contracts*recurring_price</t>
  </si>
  <si>
    <t>large_cost</t>
  </si>
  <si>
    <t>Large scenario: annual direct cost</t>
  </si>
  <si>
    <t>large_contracts*recurring_cost</t>
  </si>
  <si>
    <t>large_profit</t>
  </si>
  <si>
    <t>Large scenario: annual gross profit</t>
  </si>
  <si>
    <t>large_contracts*recurring_profit</t>
  </si>
  <si>
    <t>growth_start_year</t>
  </si>
  <si>
    <t>Reference year</t>
  </si>
  <si>
    <t>growth_base</t>
  </si>
  <si>
    <t>Provisional operating proton rooms</t>
  </si>
  <si>
    <t>Planning assumption; not a verified inventory or ARGOS-compatible base.</t>
  </si>
  <si>
    <t>growth_short</t>
  </si>
  <si>
    <t>First horizon</t>
  </si>
  <si>
    <t>growth_long</t>
  </si>
  <si>
    <t>Second horizon</t>
  </si>
  <si>
    <t>growth_short_year</t>
  </si>
  <si>
    <t>First projection year</t>
  </si>
  <si>
    <t>growth_start_year+growth_short</t>
  </si>
  <si>
    <t>growth_long_year</t>
  </si>
  <si>
    <t>Second projection year</t>
  </si>
  <si>
    <t>growth_start_year+growth_long</t>
  </si>
  <si>
    <t>growth_slow</t>
  </si>
  <si>
    <t>Assumed annual net growth: slow</t>
  </si>
  <si>
    <t>Judgement-based scenario; not a fitted forecast or confidence interval.</t>
  </si>
  <si>
    <t>slow_short</t>
  </si>
  <si>
    <t>Operating rooms: slow short</t>
  </si>
  <si>
    <t>growth_base*(1+growth_slow)**growth_short</t>
  </si>
  <si>
    <t>slow_short_shown</t>
  </si>
  <si>
    <t>Rounded rooms: slow short</t>
  </si>
  <si>
    <t>round(slow_short,0)</t>
  </si>
  <si>
    <t>slow_long</t>
  </si>
  <si>
    <t>Operating rooms: slow long</t>
  </si>
  <si>
    <t>growth_base*(1+growth_slow)**growth_long</t>
  </si>
  <si>
    <t>slow_long_shown</t>
  </si>
  <si>
    <t>Rounded rooms: slow long</t>
  </si>
  <si>
    <t>round(slow_long,0)</t>
  </si>
  <si>
    <t>growth_central</t>
  </si>
  <si>
    <t>Assumed annual net growth: central</t>
  </si>
  <si>
    <t>central_short</t>
  </si>
  <si>
    <t>Operating rooms: central short</t>
  </si>
  <si>
    <t>growth_base*(1+growth_central)**growth_short</t>
  </si>
  <si>
    <t>central_short_shown</t>
  </si>
  <si>
    <t>Rounded rooms: central short</t>
  </si>
  <si>
    <t>round(central_short,0)</t>
  </si>
  <si>
    <t>central_long</t>
  </si>
  <si>
    <t>Operating rooms: central long</t>
  </si>
  <si>
    <t>growth_base*(1+growth_central)**growth_long</t>
  </si>
  <si>
    <t>central_long_shown</t>
  </si>
  <si>
    <t>Rounded rooms: central long</t>
  </si>
  <si>
    <t>round(central_long,0)</t>
  </si>
  <si>
    <t>growth_fast</t>
  </si>
  <si>
    <t>Assumed annual net growth: fast</t>
  </si>
  <si>
    <t>fast_short</t>
  </si>
  <si>
    <t>Operating rooms: fast short</t>
  </si>
  <si>
    <t>growth_base*(1+growth_fast)**growth_short</t>
  </si>
  <si>
    <t>fast_short_shown</t>
  </si>
  <si>
    <t>Rounded rooms: fast short</t>
  </si>
  <si>
    <t>round(fast_short,0)</t>
  </si>
  <si>
    <t>fast_long</t>
  </si>
  <si>
    <t>Operating rooms: fast long</t>
  </si>
  <si>
    <t>growth_base*(1+growth_fast)**growth_long</t>
  </si>
  <si>
    <t>fast_long_shown</t>
  </si>
  <si>
    <t>Rounded rooms: fast long</t>
  </si>
  <si>
    <t>round(fast_long,0)</t>
  </si>
  <si>
    <t>observed_centres</t>
  </si>
  <si>
    <t>Proton facilities January 2026</t>
  </si>
  <si>
    <t>centres</t>
  </si>
  <si>
    <t>Yap et al. doi:10.3389/fonc.2026.1791102; PTCOG compilation.</t>
  </si>
  <si>
    <t>construction_rooms</t>
  </si>
  <si>
    <t>Listed proton rooms under construction June 2026</t>
  </si>
  <si>
    <t>Manual PTCOG tally; includes stale/uncertain dates; excludes carbon-only rooms. https://ptcog.online/facilities-under-construction/</t>
  </si>
  <si>
    <t>recent_iba_orders</t>
  </si>
  <si>
    <t>IBA H1 2026 room orders</t>
  </si>
  <si>
    <t>IBA H1 2026 presentation p13.</t>
  </si>
  <si>
    <t>recent_iba_share</t>
  </si>
  <si>
    <t>IBA H1 2026 reported order share</t>
  </si>
  <si>
    <t>https://www.iba-worldwide.com/sites/default/files/2026-08/iba_h1_2026_results_presentation.pdf</t>
  </si>
  <si>
    <t>recent_global_orders</t>
  </si>
  <si>
    <t>Implied H1 global room orders</t>
  </si>
  <si>
    <t>round(recent_iba_orders/recent_iba_share,0)</t>
  </si>
  <si>
    <t>recent_iba_backlog</t>
  </si>
  <si>
    <t>IBA H1 2026 equipment projects</t>
  </si>
  <si>
    <t>projects</t>
  </si>
  <si>
    <t>7 ProteusPLUS and 39 ProteusONE; includes 11 installations underway. Overlaps PTCOG pipeline.</t>
  </si>
  <si>
    <t>tam_price</t>
  </si>
  <si>
    <t>Price per ARGOS system</t>
  </si>
  <si>
    <t>tam_fee</t>
  </si>
  <si>
    <t>tam_post_fee</t>
  </si>
  <si>
    <t>Hardware fee after handover</t>
  </si>
  <si>
    <t>tam_short_added</t>
  </si>
  <si>
    <t>Cumulative net additional rooms</t>
  </si>
  <si>
    <t>central_short-growth_base</t>
  </si>
  <si>
    <t>tam_short_added_shown</t>
  </si>
  <si>
    <t>Rounded cumulative net additional rooms</t>
  </si>
  <si>
    <t>round(tam_short_added,0)</t>
  </si>
  <si>
    <t>tam_short_systems</t>
  </si>
  <si>
    <t>Cumulative system sales potential from net expansion</t>
  </si>
  <si>
    <t>tam_short_added*tam_price</t>
  </si>
  <si>
    <t>Full compatibility and adoption; all suppliers; excludes existing-base retrofits and replacement. Uses unrounded projections.</t>
  </si>
  <si>
    <t>tam_short_recent</t>
  </si>
  <si>
    <t>Rooms within the full-service term</t>
  </si>
  <si>
    <t>growth_base*(1+growth_central)**(growth_short-free_years)-growth_base*(1+growth_central)**(growth_short-free_years-contract_years)</t>
  </si>
  <si>
    <t>Rooms past their included year and within the paid contract term.</t>
  </si>
  <si>
    <t>tam_short_older</t>
  </si>
  <si>
    <t>Rooms past the contract term</t>
  </si>
  <si>
    <t>growth_base*(1+growth_central)**(growth_short-free_years-contract_years)</t>
  </si>
  <si>
    <t>Rooms on the hardware fee, including the initial base.</t>
  </si>
  <si>
    <t>tam_short_services</t>
  </si>
  <si>
    <t>Annual service potential on entire projected room base</t>
  </si>
  <si>
    <t>tam_short_recent*tam_fee+tam_short_older*tam_post_fee</t>
  </si>
  <si>
    <t>Full compatibility and adoption; rooms in their included year pay nothing, rooms within the paid term the full fee, older rooms the hardware fee. All suppliers, not ARGOS company revenue.</t>
  </si>
  <si>
    <t>tam_long_added</t>
  </si>
  <si>
    <t>central_long-growth_base</t>
  </si>
  <si>
    <t>tam_long_added_shown</t>
  </si>
  <si>
    <t>round(tam_long_added,0)</t>
  </si>
  <si>
    <t>tam_long_systems</t>
  </si>
  <si>
    <t>tam_long_added*tam_price</t>
  </si>
  <si>
    <t>tam_long_recent</t>
  </si>
  <si>
    <t>growth_base*(1+growth_central)**(growth_long-free_years)-growth_base*(1+growth_central)**(growth_long-free_years-contract_years)</t>
  </si>
  <si>
    <t>tam_long_older</t>
  </si>
  <si>
    <t>growth_base*(1+growth_central)**(growth_long-free_years-contract_years)</t>
  </si>
  <si>
    <t>tam_long_services</t>
  </si>
  <si>
    <t>tam_long_recent*tam_fee+tam_long_older*tam_post_fee</t>
  </si>
  <si>
    <t>startup_years</t>
  </si>
  <si>
    <t>Programme duration</t>
  </si>
  <si>
    <t>startup_pet</t>
  </si>
  <si>
    <t>PET raw materials</t>
  </si>
  <si>
    <t>startup_camera</t>
  </si>
  <si>
    <t>startup_other_hardware</t>
  </si>
  <si>
    <t>Computing and other hardware</t>
  </si>
  <si>
    <t>User input for independent reduced estimate.</t>
  </si>
  <si>
    <t>startup_raw</t>
  </si>
  <si>
    <t>Raw hardware total</t>
  </si>
  <si>
    <t>startup_pet+startup_camera+startup_other_hardware</t>
  </si>
  <si>
    <t>startup_external_work</t>
  </si>
  <si>
    <t>Prototype fabrication and test equipment</t>
  </si>
  <si>
    <t>External purchases and contracted work only; employee labour is in personnel.</t>
  </si>
  <si>
    <t>startup_device_reserve</t>
  </si>
  <si>
    <t>First-device contingency</t>
  </si>
  <si>
    <t>Fixed EUR 300000 first-device contingency; user revision.</t>
  </si>
  <si>
    <t>startup_hardware_package</t>
  </si>
  <si>
    <t>Hardware and prototype package including contingency</t>
  </si>
  <si>
    <t>startup_raw+startup_external_work+startup_device_reserve</t>
  </si>
  <si>
    <t>startup_ceo_fte</t>
  </si>
  <si>
    <t>CEO / project and business lead: staffing</t>
  </si>
  <si>
    <t>FTE</t>
  </si>
  <si>
    <t>startup_ceo_annual</t>
  </si>
  <si>
    <t>CEO / project and business lead: annual employer cost per FTE</t>
  </si>
  <si>
    <t>startup_ceo_years</t>
  </si>
  <si>
    <t>CEO / project and business lead: funded years</t>
  </si>
  <si>
    <t>startup_ceo_total</t>
  </si>
  <si>
    <t>CEO / project and business lead: programme cost</t>
  </si>
  <si>
    <t>startup_ceo_fte*startup_ceo_annual*startup_ceo_years</t>
  </si>
  <si>
    <t>startup_architect_fte</t>
  </si>
  <si>
    <t>System architect / technical lead: staffing</t>
  </si>
  <si>
    <t>Lead architect removed by user; zero retained for editable formulas.</t>
  </si>
  <si>
    <t>startup_architect_annual</t>
  </si>
  <si>
    <t>System architect / technical lead: annual employer cost per FTE</t>
  </si>
  <si>
    <t>Includes employer contributions.</t>
  </si>
  <si>
    <t>startup_architect_years</t>
  </si>
  <si>
    <t>System architect / technical lead: funded years</t>
  </si>
  <si>
    <t>startup_architect_total</t>
  </si>
  <si>
    <t>System architect / technical lead: programme cost</t>
  </si>
  <si>
    <t>startup_architect_fte*startup_architect_annual*startup_architect_years</t>
  </si>
  <si>
    <t>startup_hardware_engineer_fte</t>
  </si>
  <si>
    <t>Detector and electronics engineer: staffing</t>
  </si>
  <si>
    <t>startup_hardware_engineer_annual</t>
  </si>
  <si>
    <t>Detector and electronics engineer: annual employer cost per FTE</t>
  </si>
  <si>
    <t>startup_hardware_engineer_years</t>
  </si>
  <si>
    <t>Detector and electronics engineer: funded years</t>
  </si>
  <si>
    <t>startup_hardware_engineer_total</t>
  </si>
  <si>
    <t>Detector and electronics engineer: programme cost</t>
  </si>
  <si>
    <t>startup_hardware_engineer_fte*startup_hardware_engineer_annual*startup_hardware_engineer_years</t>
  </si>
  <si>
    <t>startup_software_fte</t>
  </si>
  <si>
    <t>Software engineers: staffing</t>
  </si>
  <si>
    <t>startup_software_annual</t>
  </si>
  <si>
    <t>Software engineers: annual employer cost per FTE</t>
  </si>
  <si>
    <t>startup_software_years</t>
  </si>
  <si>
    <t>Software engineers: funded years</t>
  </si>
  <si>
    <t>startup_software_total</t>
  </si>
  <si>
    <t>Software engineers: programme cost</t>
  </si>
  <si>
    <t>startup_software_fte*startup_software_annual*startup_software_years</t>
  </si>
  <si>
    <t>startup_physicist_fte</t>
  </si>
  <si>
    <t>Medical physicist / validation lead: staffing</t>
  </si>
  <si>
    <t>startup_physicist_annual</t>
  </si>
  <si>
    <t>Medical physicist / validation lead: annual employer cost per FTE</t>
  </si>
  <si>
    <t>startup_physicist_years</t>
  </si>
  <si>
    <t>Medical physicist / validation lead: funded years</t>
  </si>
  <si>
    <t>startup_physicist_total</t>
  </si>
  <si>
    <t>Medical physicist / validation lead: programme cost</t>
  </si>
  <si>
    <t>startup_physicist_fte*startup_physicist_annual*startup_physicist_years</t>
  </si>
  <si>
    <t>startup_technician_fte</t>
  </si>
  <si>
    <t>Assembly and laboratory technician: staffing</t>
  </si>
  <si>
    <t>startup_technician_annual</t>
  </si>
  <si>
    <t>Assembly and laboratory technician: annual employer cost per FTE</t>
  </si>
  <si>
    <t>startup_technician_years</t>
  </si>
  <si>
    <t>Assembly and laboratory technician: funded years</t>
  </si>
  <si>
    <t>Independent duration; review when changing programme length.</t>
  </si>
  <si>
    <t>startup_technician_total</t>
  </si>
  <si>
    <t>Assembly and laboratory technician: programme cost</t>
  </si>
  <si>
    <t>startup_technician_fte*startup_technician_annual*startup_technician_years</t>
  </si>
  <si>
    <t>startup_quality_fte</t>
  </si>
  <si>
    <t>Quality and regulatory lead: staffing</t>
  </si>
  <si>
    <t>Removed from reduced budget by user; zero retained for editable formulas.</t>
  </si>
  <si>
    <t>startup_quality_annual</t>
  </si>
  <si>
    <t>Quality and regulatory lead: annual employer cost per FTE</t>
  </si>
  <si>
    <t>startup_quality_years</t>
  </si>
  <si>
    <t>Quality and regulatory lead: funded years</t>
  </si>
  <si>
    <t>startup_quality_total</t>
  </si>
  <si>
    <t>Quality and regulatory lead: programme cost</t>
  </si>
  <si>
    <t>startup_quality_fte*startup_quality_annual*startup_quality_years</t>
  </si>
  <si>
    <t>startup_monitor_fte</t>
  </si>
  <si>
    <t>Clinical monitoring specialist: staffing</t>
  </si>
  <si>
    <t>startup_monitor_annual</t>
  </si>
  <si>
    <t>Clinical monitoring specialist: annual employer cost per FTE</t>
  </si>
  <si>
    <t>Includes employer contributions. Includes one-shift relief provision.</t>
  </si>
  <si>
    <t>startup_monitor_years</t>
  </si>
  <si>
    <t>Clinical monitoring specialist: funded years</t>
  </si>
  <si>
    <t>startup_monitor_total</t>
  </si>
  <si>
    <t>Clinical monitoring specialist: programme cost</t>
  </si>
  <si>
    <t>startup_monitor_fte*startup_monitor_annual*startup_monitor_years</t>
  </si>
  <si>
    <t>startup_admin_clerk_fte</t>
  </si>
  <si>
    <t>Administrative clerk: staffing</t>
  </si>
  <si>
    <t>startup_admin_clerk_annual</t>
  </si>
  <si>
    <t>Administrative clerk: annual employer cost per FTE</t>
  </si>
  <si>
    <t>User input; total employer cost, consistent with other personnel.</t>
  </si>
  <si>
    <t>startup_admin_clerk_years</t>
  </si>
  <si>
    <t>Administrative clerk: funded years</t>
  </si>
  <si>
    <t>startup_admin_clerk_total</t>
  </si>
  <si>
    <t>Administrative clerk: programme cost</t>
  </si>
  <si>
    <t>startup_admin_clerk_fte*startup_admin_clerk_annual*startup_admin_clerk_years</t>
  </si>
  <si>
    <t>startup_personnel</t>
  </si>
  <si>
    <t>Total personnel</t>
  </si>
  <si>
    <t>startup_ceo_total+startup_architect_total+startup_hardware_engineer_total+startup_software_total+startup_physicist_total+startup_technician_total+startup_quality_total+startup_monitor_total + startup_admin_clerk_total</t>
  </si>
  <si>
    <t>startup_clinical</t>
  </si>
  <si>
    <t>Hospital and clinical programme</t>
  </si>
  <si>
    <t>Reduced to half the previous amount by user.</t>
  </si>
  <si>
    <t>startup_regulatory</t>
  </si>
  <si>
    <t>External regulatory and conformity work</t>
  </si>
  <si>
    <t>startup_space_annual</t>
  </si>
  <si>
    <t>Office and laboratory space: annual cost</t>
  </si>
  <si>
    <t>startup_space_total</t>
  </si>
  <si>
    <t>Office and laboratory space: programme cost</t>
  </si>
  <si>
    <t>startup_space_annual*startup_years</t>
  </si>
  <si>
    <t>startup_it_annual</t>
  </si>
  <si>
    <t>Software tools and IT operations: annual cost</t>
  </si>
  <si>
    <t>startup_it_total</t>
  </si>
  <si>
    <t>Software tools and IT operations: programme cost</t>
  </si>
  <si>
    <t>startup_it_annual*startup_years</t>
  </si>
  <si>
    <t>startup_travel_annual</t>
  </si>
  <si>
    <t>Travel and transport: annual cost</t>
  </si>
  <si>
    <t>startup_travel_total</t>
  </si>
  <si>
    <t>Travel and transport: programme cost</t>
  </si>
  <si>
    <t>startup_travel_annual*startup_years</t>
  </si>
  <si>
    <t>startup_nonhardware</t>
  </si>
  <si>
    <t>Programme expenditure outside hardware package</t>
  </si>
  <si>
    <t>startup_personnel+startup_clinical+startup_regulatory+startup_space_total+startup_it_total+startup_travel_total</t>
  </si>
  <si>
    <t>startup_planned</t>
  </si>
  <si>
    <t>Planned expenditure including first-device contingency</t>
  </si>
  <si>
    <t>startup_hardware_package+startup_nonhardware</t>
  </si>
  <si>
    <t>startup_reserve</t>
  </si>
  <si>
    <t>Programme reserve</t>
  </si>
  <si>
    <t>Fixed allowance: half the previous EUR 504000 reserve; no longer percentage-based.</t>
  </si>
  <si>
    <t>startup_working_capital</t>
  </si>
  <si>
    <t>Working-capital buffer</t>
  </si>
  <si>
    <t>startup_backup</t>
  </si>
  <si>
    <t>Additional backup allowance</t>
  </si>
  <si>
    <t>User-approved allowance bringing the current four-year budget to EUR 4000000; separate from programme reserve.</t>
  </si>
  <si>
    <t>startup_funding</t>
  </si>
  <si>
    <t>Total funding requirement</t>
  </si>
  <si>
    <t>startup_planned+startup_reserve+startup_working_capital+startup_backup</t>
  </si>
  <si>
    <t>startup_rounding</t>
  </si>
  <si>
    <t>Funding display rounding increment</t>
  </si>
  <si>
    <t>startup_funding_rounded</t>
  </si>
  <si>
    <t>Funding requirement rounded up</t>
  </si>
  <si>
    <t>ceil(startup_funding/startup_rounding)*startup_rounding</t>
  </si>
  <si>
    <t>startup_operating</t>
  </si>
  <si>
    <t>Clinical regulatory and operating costs</t>
  </si>
  <si>
    <t>startup_nonhardware-startup_personnel</t>
  </si>
  <si>
    <t>Excludes personnel and reserves.</t>
  </si>
  <si>
    <t>team_ceo_annual</t>
  </si>
  <si>
    <t>ceo annual</t>
  </si>
  <si>
    <t>Linked to costs-reduced.csv.</t>
  </si>
  <si>
    <t>team_ceo_years</t>
  </si>
  <si>
    <t>ceo years</t>
  </si>
  <si>
    <t>team_ceo_total</t>
  </si>
  <si>
    <t>ceo total</t>
  </si>
  <si>
    <t>team_ceo_fte</t>
  </si>
  <si>
    <t>ceo fte</t>
  </si>
  <si>
    <t>team_hardware_engineer_annual</t>
  </si>
  <si>
    <t>hardware engineer annual</t>
  </si>
  <si>
    <t>team_hardware_engineer_years</t>
  </si>
  <si>
    <t>hardware engineer years</t>
  </si>
  <si>
    <t>team_hardware_engineer_total</t>
  </si>
  <si>
    <t>hardware engineer total</t>
  </si>
  <si>
    <t>team_hardware_engineer_fte</t>
  </si>
  <si>
    <t>hardware engineer fte</t>
  </si>
  <si>
    <t>team_software_annual</t>
  </si>
  <si>
    <t>software annual</t>
  </si>
  <si>
    <t>team_software_years</t>
  </si>
  <si>
    <t>software years</t>
  </si>
  <si>
    <t>team_software_total</t>
  </si>
  <si>
    <t>software total</t>
  </si>
  <si>
    <t>team_software_fte</t>
  </si>
  <si>
    <t>software fte</t>
  </si>
  <si>
    <t>team_physicist_annual</t>
  </si>
  <si>
    <t>physicist annual</t>
  </si>
  <si>
    <t>team_physicist_years</t>
  </si>
  <si>
    <t>physicist years</t>
  </si>
  <si>
    <t>team_physicist_total</t>
  </si>
  <si>
    <t>physicist total</t>
  </si>
  <si>
    <t>team_physicist_fte</t>
  </si>
  <si>
    <t>physicist fte</t>
  </si>
  <si>
    <t>team_technician_annual</t>
  </si>
  <si>
    <t>technician annual</t>
  </si>
  <si>
    <t>team_technician_years</t>
  </si>
  <si>
    <t>technician years</t>
  </si>
  <si>
    <t>team_technician_total</t>
  </si>
  <si>
    <t>technician total</t>
  </si>
  <si>
    <t>team_technician_fte</t>
  </si>
  <si>
    <t>technician fte</t>
  </si>
  <si>
    <t>team_admin_clerk_annual</t>
  </si>
  <si>
    <t>admin clerk annual</t>
  </si>
  <si>
    <t>team_admin_clerk_years</t>
  </si>
  <si>
    <t>admin clerk years</t>
  </si>
  <si>
    <t>team_admin_clerk_total</t>
  </si>
  <si>
    <t>admin clerk total</t>
  </si>
  <si>
    <t>team_admin_clerk_fte</t>
  </si>
  <si>
    <t>admin clerk fte</t>
  </si>
  <si>
    <t>team_total</t>
  </si>
  <si>
    <t>programme_pet</t>
  </si>
  <si>
    <t>pet</t>
  </si>
  <si>
    <t>programme_camera</t>
  </si>
  <si>
    <t>camera</t>
  </si>
  <si>
    <t>programme_other_hardware</t>
  </si>
  <si>
    <t>other hardware</t>
  </si>
  <si>
    <t>programme_external_work</t>
  </si>
  <si>
    <t>external work</t>
  </si>
  <si>
    <t>programme_device_reserve</t>
  </si>
  <si>
    <t>device reserve</t>
  </si>
  <si>
    <t>programme_hardware_package</t>
  </si>
  <si>
    <t>hardware package</t>
  </si>
  <si>
    <t>programme_clinical</t>
  </si>
  <si>
    <t>clinical</t>
  </si>
  <si>
    <t>programme_regulatory</t>
  </si>
  <si>
    <t>regulatory</t>
  </si>
  <si>
    <t>programme_first</t>
  </si>
  <si>
    <t>Design year</t>
  </si>
  <si>
    <t>Relative to programme start.</t>
  </si>
  <si>
    <t>programme_second</t>
  </si>
  <si>
    <t>Prototype year</t>
  </si>
  <si>
    <t>programme_clinical_start</t>
  </si>
  <si>
    <t>Clinical phase first year</t>
  </si>
  <si>
    <t>programme_end</t>
  </si>
  <si>
    <t>Programme end</t>
  </si>
  <si>
    <t>programme_pet_count</t>
  </si>
  <si>
    <t>PET demonstrators</t>
  </si>
  <si>
    <t>devices</t>
  </si>
  <si>
    <t>programme_camera_count</t>
  </si>
  <si>
    <t>Compton camera demonstrators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</si>
</sst>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#,##0.00;[Red]-#,##0.00"/>
    <numFmt numFmtId="166" formatCode="0.0%"/>
  </numFmts>
  <fonts count="2">
    <font>
      <sz val="11"/>
      <color theme="1"/>
      <name val="Calibri"/>
      <family val="2"/>
      <scheme val="minor"/>
    </font>
    <font>
      <sz val="11"/>
      <color rgb="FF1565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odel_installation" displayName="model_installation" ref="A1:G24" totalsRowShown="0">
  <autoFilter ref="A1:G24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del_installation_market" displayName="model_installation_market" ref="A1:G17" totalsRowShown="0">
  <autoFilter ref="A1:G17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del_annual_service" displayName="model_annual_service" ref="A1:G39" totalsRowShown="0">
  <autoFilter ref="A1:G39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_recurring_market" displayName="model_recurring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_market_growth" displayName="model_market_growth" ref="A1:G28" totalsRowShown="0">
  <autoFilter ref="A1:G28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_argos_market" displayName="model_argos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_costs_reduced" displayName="model_costs_reduced" ref="A1:G63" totalsRowShown="0">
  <autoFilter ref="A1:G63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model_startup_team" displayName="model_startup_team" ref="A1:G26" totalsRowShown="0">
  <autoFilter ref="A1:G2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model_startup_programme" displayName="model_startup_programme" ref="A1:G15" totalsRowShown="0">
  <autoFilter ref="A1:G15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 s="1">
        <v>740000</v>
      </c>
      <c r="E2" t="s">
        <v>10</v>
      </c>
      <c r="G2" t="s">
        <v>11</v>
      </c>
    </row>
    <row r="3" spans="1:7">
      <c r="A3" t="s">
        <v>12</v>
      </c>
      <c r="B3" t="s">
        <v>13</v>
      </c>
      <c r="C3" t="s">
        <v>9</v>
      </c>
      <c r="D3" s="1">
        <v>100000</v>
      </c>
      <c r="E3" t="s">
        <v>10</v>
      </c>
      <c r="G3" t="s">
        <v>14</v>
      </c>
    </row>
    <row r="4" spans="1:7">
      <c r="A4" t="s">
        <v>15</v>
      </c>
      <c r="B4" t="s">
        <v>16</v>
      </c>
      <c r="C4" t="s">
        <v>9</v>
      </c>
      <c r="D4" s="1">
        <v>160000</v>
      </c>
      <c r="E4" t="s">
        <v>10</v>
      </c>
      <c r="G4" t="s">
        <v>17</v>
      </c>
    </row>
    <row r="5" spans="1:7">
      <c r="A5" t="s">
        <v>18</v>
      </c>
      <c r="B5" t="s">
        <v>19</v>
      </c>
      <c r="C5" t="s">
        <v>20</v>
      </c>
      <c r="D5" s="2">
        <f>(('installation'!D2+'installation'!D3)+'installation'!D4)</f>
        <v>1000000.0</v>
      </c>
      <c r="E5" t="s">
        <v>10</v>
      </c>
      <c r="F5" t="s">
        <v>21</v>
      </c>
      <c r="G5" t="s">
        <v>22</v>
      </c>
    </row>
    <row r="6" spans="1:7">
      <c r="A6" t="s">
        <v>23</v>
      </c>
      <c r="B6" t="s">
        <v>24</v>
      </c>
      <c r="C6" t="s">
        <v>9</v>
      </c>
      <c r="D6" s="1">
        <v>350000</v>
      </c>
      <c r="E6" t="s">
        <v>10</v>
      </c>
      <c r="G6" t="s">
        <v>25</v>
      </c>
    </row>
    <row r="7" spans="1:7">
      <c r="A7" t="s">
        <v>26</v>
      </c>
      <c r="B7" t="s">
        <v>27</v>
      </c>
      <c r="C7" t="s">
        <v>20</v>
      </c>
      <c r="D7" s="2">
        <f>('installation'!D5+'installation'!D6)</f>
        <v>1350000.0</v>
      </c>
      <c r="E7" t="s">
        <v>10</v>
      </c>
      <c r="F7" t="s">
        <v>28</v>
      </c>
    </row>
    <row r="8" spans="1:7">
      <c r="A8" t="s">
        <v>29</v>
      </c>
      <c r="B8" t="s">
        <v>30</v>
      </c>
      <c r="C8" t="s">
        <v>9</v>
      </c>
      <c r="D8" s="3">
        <v>0.4</v>
      </c>
      <c r="E8" t="s">
        <v>31</v>
      </c>
      <c r="G8" t="s">
        <v>32</v>
      </c>
    </row>
    <row r="9" spans="1:7">
      <c r="A9" t="s">
        <v>33</v>
      </c>
      <c r="B9" t="s">
        <v>34</v>
      </c>
      <c r="C9" t="s">
        <v>20</v>
      </c>
      <c r="D9" s="2">
        <f>('installation'!D7/(1-'installation'!D8))</f>
        <v>2250000.0</v>
      </c>
      <c r="E9" t="s">
        <v>10</v>
      </c>
      <c r="F9" t="s">
        <v>35</v>
      </c>
    </row>
    <row r="10" spans="1:7">
      <c r="A10" t="s">
        <v>36</v>
      </c>
      <c r="B10" t="s">
        <v>37</v>
      </c>
      <c r="C10" t="s">
        <v>9</v>
      </c>
      <c r="D10" s="1">
        <v>2500000</v>
      </c>
      <c r="E10" t="s">
        <v>10</v>
      </c>
      <c r="G10" t="s">
        <v>38</v>
      </c>
    </row>
    <row r="11" spans="1:7">
      <c r="A11" t="s">
        <v>39</v>
      </c>
      <c r="B11" t="s">
        <v>40</v>
      </c>
      <c r="C11" t="s">
        <v>20</v>
      </c>
      <c r="D11" s="2">
        <f>'annual_service'!D30</f>
        <v>100000.0</v>
      </c>
      <c r="E11" t="s">
        <v>10</v>
      </c>
      <c r="F11" t="s">
        <v>41</v>
      </c>
      <c r="G11" t="s">
        <v>42</v>
      </c>
    </row>
    <row r="12" spans="1:7">
      <c r="A12" t="s">
        <v>43</v>
      </c>
      <c r="B12" t="s">
        <v>44</v>
      </c>
      <c r="C12" t="s">
        <v>20</v>
      </c>
      <c r="D12" s="2">
        <f>('installation'!D7+'installation'!D11)</f>
        <v>1450000.0</v>
      </c>
      <c r="E12" t="s">
        <v>10</v>
      </c>
      <c r="F12" t="s">
        <v>45</v>
      </c>
    </row>
    <row r="13" spans="1:7">
      <c r="A13" t="s">
        <v>46</v>
      </c>
      <c r="B13" t="s">
        <v>47</v>
      </c>
      <c r="C13" t="s">
        <v>20</v>
      </c>
      <c r="D13" s="2">
        <f>('installation'!D10-'installation'!D12)</f>
        <v>1050000.0</v>
      </c>
      <c r="E13" t="s">
        <v>10</v>
      </c>
      <c r="F13" t="s">
        <v>48</v>
      </c>
      <c r="G13" t="s">
        <v>49</v>
      </c>
    </row>
    <row r="14" spans="1:7">
      <c r="A14" t="s">
        <v>50</v>
      </c>
      <c r="B14" t="s">
        <v>51</v>
      </c>
      <c r="C14" t="s">
        <v>20</v>
      </c>
      <c r="D14" s="4">
        <f>('installation'!D13/'installation'!D10)</f>
        <v>0.42</v>
      </c>
      <c r="E14" t="s">
        <v>31</v>
      </c>
      <c r="F14" t="s">
        <v>52</v>
      </c>
    </row>
    <row r="15" spans="1:7">
      <c r="A15" t="s">
        <v>53</v>
      </c>
      <c r="B15" t="s">
        <v>54</v>
      </c>
      <c r="C15" t="s">
        <v>9</v>
      </c>
      <c r="D15" s="1">
        <v>1600000</v>
      </c>
      <c r="E15" t="s">
        <v>10</v>
      </c>
      <c r="G15" t="s">
        <v>55</v>
      </c>
    </row>
    <row r="16" spans="1:7">
      <c r="A16" t="s">
        <v>56</v>
      </c>
      <c r="B16" t="s">
        <v>57</v>
      </c>
      <c r="C16" t="s">
        <v>20</v>
      </c>
      <c r="D16" s="4">
        <f>((('installation'!D10-'installation'!D15)-'installation'!D11)/'installation'!D10)</f>
        <v>0.32</v>
      </c>
      <c r="E16" t="s">
        <v>31</v>
      </c>
      <c r="F16" t="s">
        <v>58</v>
      </c>
      <c r="G16" t="s">
        <v>59</v>
      </c>
    </row>
    <row r="17" spans="1:7">
      <c r="A17" t="s">
        <v>60</v>
      </c>
      <c r="B17" t="s">
        <v>61</v>
      </c>
      <c r="C17" t="s">
        <v>9</v>
      </c>
      <c r="D17" s="1">
        <v>1900000</v>
      </c>
      <c r="E17" t="s">
        <v>10</v>
      </c>
      <c r="G17" t="s">
        <v>55</v>
      </c>
    </row>
    <row r="18" spans="1:7">
      <c r="A18" t="s">
        <v>62</v>
      </c>
      <c r="B18" t="s">
        <v>63</v>
      </c>
      <c r="C18" t="s">
        <v>20</v>
      </c>
      <c r="D18" s="4">
        <f>((('installation'!D10-'installation'!D17)-'installation'!D11)/'installation'!D10)</f>
        <v>0.2</v>
      </c>
      <c r="E18" t="s">
        <v>31</v>
      </c>
      <c r="F18" t="s">
        <v>64</v>
      </c>
      <c r="G18" t="s">
        <v>59</v>
      </c>
    </row>
    <row r="19" spans="1:7">
      <c r="A19" t="s">
        <v>65</v>
      </c>
      <c r="B19" t="s">
        <v>66</v>
      </c>
      <c r="C19" t="s">
        <v>9</v>
      </c>
      <c r="D19" s="1">
        <v>600000</v>
      </c>
      <c r="E19" t="s">
        <v>10</v>
      </c>
      <c r="G19" t="s">
        <v>67</v>
      </c>
    </row>
    <row r="20" spans="1:7">
      <c r="A20" t="s">
        <v>68</v>
      </c>
      <c r="B20" t="s">
        <v>69</v>
      </c>
      <c r="C20" t="s">
        <v>20</v>
      </c>
      <c r="D20" s="2">
        <f>('installation'!D19+'installation'!D3)</f>
        <v>700000.0</v>
      </c>
      <c r="E20" t="s">
        <v>10</v>
      </c>
      <c r="F20" t="s">
        <v>70</v>
      </c>
      <c r="G20" t="s">
        <v>71</v>
      </c>
    </row>
    <row r="21" spans="1:7">
      <c r="A21" t="s">
        <v>72</v>
      </c>
      <c r="B21" t="s">
        <v>73</v>
      </c>
      <c r="C21" t="s">
        <v>20</v>
      </c>
      <c r="D21" s="2">
        <f>('installation'!D20+'installation'!D6)</f>
        <v>1050000.0</v>
      </c>
      <c r="E21" t="s">
        <v>10</v>
      </c>
      <c r="F21" t="s">
        <v>74</v>
      </c>
      <c r="G21" t="s">
        <v>75</v>
      </c>
    </row>
    <row r="22" spans="1:7">
      <c r="A22" t="s">
        <v>76</v>
      </c>
      <c r="B22" t="s">
        <v>77</v>
      </c>
      <c r="C22" t="s">
        <v>20</v>
      </c>
      <c r="D22" s="2">
        <f>('installation'!D7-'installation'!D21)</f>
        <v>300000.0</v>
      </c>
      <c r="E22" t="s">
        <v>10</v>
      </c>
      <c r="F22" t="s">
        <v>78</v>
      </c>
      <c r="G22" t="s">
        <v>79</v>
      </c>
    </row>
    <row r="23" spans="1:7">
      <c r="A23" t="s">
        <v>80</v>
      </c>
      <c r="B23" t="s">
        <v>81</v>
      </c>
      <c r="C23" t="s">
        <v>9</v>
      </c>
      <c r="D23" s="1">
        <v>10</v>
      </c>
      <c r="E23" t="s">
        <v>82</v>
      </c>
      <c r="G23" t="s">
        <v>83</v>
      </c>
    </row>
    <row r="24" spans="1:7">
      <c r="A24" t="s">
        <v>84</v>
      </c>
      <c r="B24" t="s">
        <v>85</v>
      </c>
      <c r="C24" t="s">
        <v>20</v>
      </c>
      <c r="D24" s="2">
        <f>('installation'!D23*'installation'!D10)</f>
        <v>25000000.0</v>
      </c>
      <c r="E24" t="s">
        <v>10</v>
      </c>
      <c r="F24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87</v>
      </c>
      <c r="B2" t="s">
        <v>88</v>
      </c>
      <c r="C2" t="s">
        <v>9</v>
      </c>
      <c r="D2" s="1">
        <v>2025</v>
      </c>
      <c r="E2" t="s">
        <v>89</v>
      </c>
      <c r="G2" t="s">
        <v>90</v>
      </c>
    </row>
    <row r="3" spans="1:7">
      <c r="A3" t="s">
        <v>91</v>
      </c>
      <c r="B3" t="s">
        <v>92</v>
      </c>
      <c r="C3" t="s">
        <v>9</v>
      </c>
      <c r="D3" s="1">
        <v>12</v>
      </c>
      <c r="E3" t="s">
        <v>93</v>
      </c>
      <c r="G3" t="s">
        <v>90</v>
      </c>
    </row>
    <row r="4" spans="1:7">
      <c r="A4" t="s">
        <v>94</v>
      </c>
      <c r="B4" t="s">
        <v>95</v>
      </c>
      <c r="C4" t="s">
        <v>9</v>
      </c>
      <c r="D4" s="3">
        <v>0.63</v>
      </c>
      <c r="E4" t="s">
        <v>31</v>
      </c>
      <c r="G4" t="s">
        <v>96</v>
      </c>
    </row>
    <row r="5" spans="1:7">
      <c r="A5" t="s">
        <v>97</v>
      </c>
      <c r="B5" t="s">
        <v>98</v>
      </c>
      <c r="C5" t="s">
        <v>20</v>
      </c>
      <c r="D5" s="2">
        <f>('installation_market'!D3/'installation_market'!D4)</f>
        <v>19.047619047619047</v>
      </c>
      <c r="E5" t="s">
        <v>93</v>
      </c>
      <c r="F5" t="s">
        <v>99</v>
      </c>
    </row>
    <row r="6" spans="1:7">
      <c r="A6" t="s">
        <v>100</v>
      </c>
      <c r="B6" t="s">
        <v>101</v>
      </c>
      <c r="C6" t="s">
        <v>20</v>
      </c>
      <c r="D6" s="2">
        <f>ROUND('installation_market'!D5,0)</f>
        <v>19.0</v>
      </c>
      <c r="E6" t="s">
        <v>93</v>
      </c>
      <c r="F6" t="s">
        <v>102</v>
      </c>
      <c r="G6" t="s">
        <v>103</v>
      </c>
    </row>
    <row r="7" spans="1:7">
      <c r="A7" t="s">
        <v>104</v>
      </c>
      <c r="B7" t="s">
        <v>105</v>
      </c>
      <c r="C7" t="s">
        <v>9</v>
      </c>
      <c r="D7" s="3">
        <v>1</v>
      </c>
      <c r="E7" t="s">
        <v>31</v>
      </c>
      <c r="G7" t="s">
        <v>106</v>
      </c>
    </row>
    <row r="8" spans="1:7">
      <c r="A8" t="s">
        <v>107</v>
      </c>
      <c r="B8" t="s">
        <v>108</v>
      </c>
      <c r="C8" t="s">
        <v>20</v>
      </c>
      <c r="D8" s="2">
        <f>('installation_market'!D6*'installation_market'!D7)</f>
        <v>19.0</v>
      </c>
      <c r="E8" t="s">
        <v>109</v>
      </c>
      <c r="F8" t="s">
        <v>110</v>
      </c>
    </row>
    <row r="9" spans="1:7">
      <c r="A9" t="s">
        <v>111</v>
      </c>
      <c r="B9" t="s">
        <v>112</v>
      </c>
      <c r="C9" t="s">
        <v>20</v>
      </c>
      <c r="D9" s="2">
        <f>'installation'!D10</f>
        <v>2500000.0</v>
      </c>
      <c r="E9" t="s">
        <v>10</v>
      </c>
      <c r="F9" t="s">
        <v>36</v>
      </c>
    </row>
    <row r="10" spans="1:7">
      <c r="A10" t="s">
        <v>113</v>
      </c>
      <c r="B10" t="s">
        <v>114</v>
      </c>
      <c r="C10" t="s">
        <v>20</v>
      </c>
      <c r="D10" s="2">
        <f>('installation_market'!D8*'installation_market'!D9)</f>
        <v>47500000.0</v>
      </c>
      <c r="E10" t="s">
        <v>115</v>
      </c>
      <c r="F10" t="s">
        <v>116</v>
      </c>
    </row>
    <row r="11" spans="1:7">
      <c r="A11" t="s">
        <v>117</v>
      </c>
      <c r="B11" t="s">
        <v>118</v>
      </c>
      <c r="C11" t="s">
        <v>9</v>
      </c>
      <c r="D11" s="1">
        <v>300</v>
      </c>
      <c r="E11" t="s">
        <v>119</v>
      </c>
      <c r="G11" t="s">
        <v>120</v>
      </c>
    </row>
    <row r="12" spans="1:7">
      <c r="A12" t="s">
        <v>121</v>
      </c>
      <c r="B12" t="s">
        <v>122</v>
      </c>
      <c r="C12" t="s">
        <v>9</v>
      </c>
      <c r="D12" s="3">
        <v>0.05</v>
      </c>
      <c r="E12" t="s">
        <v>31</v>
      </c>
      <c r="G12" t="s">
        <v>123</v>
      </c>
    </row>
    <row r="13" spans="1:7">
      <c r="A13" t="s">
        <v>124</v>
      </c>
      <c r="B13" t="s">
        <v>125</v>
      </c>
      <c r="C13" t="s">
        <v>20</v>
      </c>
      <c r="D13" s="2">
        <f>('installation_market'!D11*'installation_market'!D12)</f>
        <v>15.0</v>
      </c>
      <c r="E13" t="s">
        <v>109</v>
      </c>
      <c r="F13" t="s">
        <v>126</v>
      </c>
    </row>
    <row r="14" spans="1:7">
      <c r="A14" t="s">
        <v>127</v>
      </c>
      <c r="B14" t="s">
        <v>128</v>
      </c>
      <c r="C14" t="s">
        <v>20</v>
      </c>
      <c r="D14" s="2">
        <f>('installation_market'!D13*'installation_market'!D9)</f>
        <v>37500000.0</v>
      </c>
      <c r="E14" t="s">
        <v>115</v>
      </c>
      <c r="F14" t="s">
        <v>129</v>
      </c>
    </row>
    <row r="15" spans="1:7">
      <c r="A15" t="s">
        <v>130</v>
      </c>
      <c r="B15" t="s">
        <v>131</v>
      </c>
      <c r="C15" t="s">
        <v>20</v>
      </c>
      <c r="D15" s="2">
        <f>('installation_market'!D8+'installation_market'!D13)</f>
        <v>34.0</v>
      </c>
      <c r="E15" t="s">
        <v>109</v>
      </c>
      <c r="F15" t="s">
        <v>132</v>
      </c>
    </row>
    <row r="16" spans="1:7">
      <c r="A16" t="s">
        <v>133</v>
      </c>
      <c r="B16" t="s">
        <v>134</v>
      </c>
      <c r="C16" t="s">
        <v>20</v>
      </c>
      <c r="D16" s="2">
        <f>('installation_market'!D10+'installation_market'!D14)</f>
        <v>85000000.0</v>
      </c>
      <c r="E16" t="s">
        <v>115</v>
      </c>
      <c r="F16" t="s">
        <v>135</v>
      </c>
      <c r="G16" t="s">
        <v>136</v>
      </c>
    </row>
    <row r="17" spans="1:7">
      <c r="A17" t="s">
        <v>137</v>
      </c>
      <c r="B17" t="s">
        <v>138</v>
      </c>
      <c r="C17" t="s">
        <v>20</v>
      </c>
      <c r="D17" s="2">
        <f>('installation_market'!D11*'installation_market'!D9)</f>
        <v>750000000.0</v>
      </c>
      <c r="E17" t="s">
        <v>10</v>
      </c>
      <c r="F17" t="s">
        <v>139</v>
      </c>
      <c r="G17" t="s">
        <v>140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141</v>
      </c>
      <c r="B2" t="s">
        <v>142</v>
      </c>
      <c r="C2" t="s">
        <v>9</v>
      </c>
      <c r="D2" s="1">
        <v>8000</v>
      </c>
      <c r="E2" t="s">
        <v>115</v>
      </c>
      <c r="G2" t="s">
        <v>143</v>
      </c>
    </row>
    <row r="3" spans="1:7">
      <c r="A3" t="s">
        <v>144</v>
      </c>
      <c r="B3" t="s">
        <v>145</v>
      </c>
      <c r="C3" t="s">
        <v>9</v>
      </c>
      <c r="D3" s="1">
        <v>10000</v>
      </c>
      <c r="E3" t="s">
        <v>115</v>
      </c>
      <c r="G3" t="s">
        <v>146</v>
      </c>
    </row>
    <row r="4" spans="1:7">
      <c r="A4" t="s">
        <v>147</v>
      </c>
      <c r="B4" t="s">
        <v>148</v>
      </c>
      <c r="C4" t="s">
        <v>9</v>
      </c>
      <c r="D4" s="1">
        <v>7000</v>
      </c>
      <c r="E4" t="s">
        <v>115</v>
      </c>
      <c r="G4" t="s">
        <v>149</v>
      </c>
    </row>
    <row r="5" spans="1:7">
      <c r="A5" t="s">
        <v>150</v>
      </c>
      <c r="B5" t="s">
        <v>151</v>
      </c>
      <c r="C5" t="s">
        <v>9</v>
      </c>
      <c r="D5" s="1">
        <v>5000</v>
      </c>
      <c r="E5" t="s">
        <v>115</v>
      </c>
      <c r="G5" t="s">
        <v>152</v>
      </c>
    </row>
    <row r="6" spans="1:7">
      <c r="A6" t="s">
        <v>153</v>
      </c>
      <c r="B6" t="s">
        <v>154</v>
      </c>
      <c r="C6" t="s">
        <v>20</v>
      </c>
      <c r="D6" s="2">
        <f>((('annual_service'!D2+'annual_service'!D3)+'annual_service'!D4)+'annual_service'!D5)</f>
        <v>30000.0</v>
      </c>
      <c r="E6" t="s">
        <v>115</v>
      </c>
      <c r="F6" t="s">
        <v>155</v>
      </c>
      <c r="G6" t="s">
        <v>156</v>
      </c>
    </row>
    <row r="7" spans="1:7">
      <c r="A7" t="s">
        <v>157</v>
      </c>
      <c r="B7" t="s">
        <v>158</v>
      </c>
      <c r="C7" t="s">
        <v>9</v>
      </c>
      <c r="D7" s="1">
        <v>50000</v>
      </c>
      <c r="E7" t="s">
        <v>115</v>
      </c>
      <c r="G7" t="s">
        <v>159</v>
      </c>
    </row>
    <row r="8" spans="1:7">
      <c r="A8" t="s">
        <v>160</v>
      </c>
      <c r="B8" t="s">
        <v>161</v>
      </c>
      <c r="C8" t="s">
        <v>9</v>
      </c>
      <c r="D8" s="3">
        <v>0.32</v>
      </c>
      <c r="E8" t="s">
        <v>31</v>
      </c>
      <c r="G8" t="s">
        <v>162</v>
      </c>
    </row>
    <row r="9" spans="1:7">
      <c r="A9" t="s">
        <v>163</v>
      </c>
      <c r="B9" t="s">
        <v>164</v>
      </c>
      <c r="C9" t="s">
        <v>20</v>
      </c>
      <c r="D9" s="2">
        <f>('annual_service'!D7*'annual_service'!D8)</f>
        <v>16000.0</v>
      </c>
      <c r="E9" t="s">
        <v>115</v>
      </c>
      <c r="F9" t="s">
        <v>165</v>
      </c>
    </row>
    <row r="10" spans="1:7">
      <c r="A10" t="s">
        <v>166</v>
      </c>
      <c r="B10" t="s">
        <v>167</v>
      </c>
      <c r="C10" t="s">
        <v>20</v>
      </c>
      <c r="D10" s="2">
        <f>('annual_service'!D7+'annual_service'!D9)</f>
        <v>66000.0</v>
      </c>
      <c r="E10" t="s">
        <v>115</v>
      </c>
      <c r="F10" t="s">
        <v>168</v>
      </c>
    </row>
    <row r="11" spans="1:7">
      <c r="A11" t="s">
        <v>169</v>
      </c>
      <c r="B11" t="s">
        <v>170</v>
      </c>
      <c r="C11" t="s">
        <v>9</v>
      </c>
      <c r="D11" s="3">
        <v>0.2</v>
      </c>
      <c r="E11" t="s">
        <v>31</v>
      </c>
      <c r="G11" t="s">
        <v>171</v>
      </c>
    </row>
    <row r="12" spans="1:7">
      <c r="A12" t="s">
        <v>172</v>
      </c>
      <c r="B12" t="s">
        <v>173</v>
      </c>
      <c r="C12" t="s">
        <v>20</v>
      </c>
      <c r="D12" s="2">
        <f>('annual_service'!D10*'annual_service'!D11)</f>
        <v>13200.0</v>
      </c>
      <c r="E12" t="s">
        <v>115</v>
      </c>
      <c r="F12" t="s">
        <v>174</v>
      </c>
    </row>
    <row r="13" spans="1:7">
      <c r="A13" t="s">
        <v>175</v>
      </c>
      <c r="B13" t="s">
        <v>176</v>
      </c>
      <c r="C13" t="s">
        <v>20</v>
      </c>
      <c r="D13" s="2">
        <f>('annual_service'!D10+'annual_service'!D12)</f>
        <v>79200.0</v>
      </c>
      <c r="E13" t="s">
        <v>115</v>
      </c>
      <c r="F13" t="s">
        <v>177</v>
      </c>
    </row>
    <row r="14" spans="1:7">
      <c r="A14" t="s">
        <v>178</v>
      </c>
      <c r="B14" t="s">
        <v>179</v>
      </c>
      <c r="C14" t="s">
        <v>9</v>
      </c>
      <c r="D14" s="1">
        <v>1000</v>
      </c>
      <c r="E14" t="s">
        <v>10</v>
      </c>
      <c r="G14" t="s">
        <v>180</v>
      </c>
    </row>
    <row r="15" spans="1:7">
      <c r="A15" t="s">
        <v>181</v>
      </c>
      <c r="B15" t="s">
        <v>182</v>
      </c>
      <c r="C15" t="s">
        <v>20</v>
      </c>
      <c r="D15" s="2">
        <f>(CEILING(('annual_service'!D13/'annual_service'!D14),1)*'annual_service'!D14)</f>
        <v>80000.0</v>
      </c>
      <c r="E15" t="s">
        <v>115</v>
      </c>
      <c r="F15" t="s">
        <v>183</v>
      </c>
    </row>
    <row r="16" spans="1:7">
      <c r="A16" t="s">
        <v>184</v>
      </c>
      <c r="B16" t="s">
        <v>185</v>
      </c>
      <c r="C16" t="s">
        <v>9</v>
      </c>
      <c r="D16" s="1">
        <v>1</v>
      </c>
      <c r="E16" t="s">
        <v>186</v>
      </c>
      <c r="G16" t="s">
        <v>187</v>
      </c>
    </row>
    <row r="17" spans="1:7">
      <c r="A17" t="s">
        <v>188</v>
      </c>
      <c r="B17" t="s">
        <v>189</v>
      </c>
      <c r="C17" t="s">
        <v>20</v>
      </c>
      <c r="D17" s="2">
        <f>('annual_service'!D15*'annual_service'!D16)</f>
        <v>80000.0</v>
      </c>
      <c r="E17" t="s">
        <v>115</v>
      </c>
      <c r="F17" t="s">
        <v>190</v>
      </c>
    </row>
    <row r="18" spans="1:7">
      <c r="A18" t="s">
        <v>191</v>
      </c>
      <c r="B18" t="s">
        <v>192</v>
      </c>
      <c r="C18" t="s">
        <v>9</v>
      </c>
      <c r="D18" s="1">
        <v>2000</v>
      </c>
      <c r="E18" t="s">
        <v>115</v>
      </c>
      <c r="G18" t="s">
        <v>193</v>
      </c>
    </row>
    <row r="19" spans="1:7">
      <c r="A19" t="s">
        <v>194</v>
      </c>
      <c r="B19" t="s">
        <v>195</v>
      </c>
      <c r="C19" t="s">
        <v>9</v>
      </c>
      <c r="D19" s="1">
        <v>1000</v>
      </c>
      <c r="E19" t="s">
        <v>115</v>
      </c>
      <c r="G19" t="s">
        <v>196</v>
      </c>
    </row>
    <row r="20" spans="1:7">
      <c r="A20" t="s">
        <v>197</v>
      </c>
      <c r="B20" t="s">
        <v>198</v>
      </c>
      <c r="C20" t="s">
        <v>9</v>
      </c>
      <c r="D20" s="1">
        <v>2000</v>
      </c>
      <c r="E20" t="s">
        <v>115</v>
      </c>
      <c r="G20" t="s">
        <v>199</v>
      </c>
    </row>
    <row r="21" spans="1:7">
      <c r="A21" t="s">
        <v>200</v>
      </c>
      <c r="B21" t="s">
        <v>201</v>
      </c>
      <c r="C21" t="s">
        <v>20</v>
      </c>
      <c r="D21" s="2">
        <f>(('annual_service'!D18+'annual_service'!D19)+'annual_service'!D20)</f>
        <v>5000.0</v>
      </c>
      <c r="E21" t="s">
        <v>115</v>
      </c>
      <c r="F21" t="s">
        <v>202</v>
      </c>
      <c r="G21" t="s">
        <v>203</v>
      </c>
    </row>
    <row r="22" spans="1:7">
      <c r="A22" t="s">
        <v>204</v>
      </c>
      <c r="B22" t="s">
        <v>205</v>
      </c>
      <c r="C22" t="s">
        <v>9</v>
      </c>
      <c r="D22" s="1">
        <v>15000</v>
      </c>
      <c r="E22" t="s">
        <v>115</v>
      </c>
      <c r="G22" t="s">
        <v>206</v>
      </c>
    </row>
    <row r="23" spans="1:7">
      <c r="A23" t="s">
        <v>207</v>
      </c>
      <c r="B23" t="s">
        <v>208</v>
      </c>
      <c r="C23" t="s">
        <v>20</v>
      </c>
      <c r="D23" s="2">
        <f>((('annual_service'!D6+'annual_service'!D17)+'annual_service'!D21)+'annual_service'!D22)</f>
        <v>130000.0</v>
      </c>
      <c r="E23" t="s">
        <v>115</v>
      </c>
      <c r="F23" t="s">
        <v>209</v>
      </c>
    </row>
    <row r="24" spans="1:7">
      <c r="A24" t="s">
        <v>210</v>
      </c>
      <c r="B24" t="s">
        <v>211</v>
      </c>
      <c r="C24" t="s">
        <v>9</v>
      </c>
      <c r="D24" s="3">
        <v>0.4</v>
      </c>
      <c r="E24" t="s">
        <v>31</v>
      </c>
      <c r="G24" t="s">
        <v>32</v>
      </c>
    </row>
    <row r="25" spans="1:7">
      <c r="A25" t="s">
        <v>212</v>
      </c>
      <c r="B25" t="s">
        <v>213</v>
      </c>
      <c r="C25" t="s">
        <v>20</v>
      </c>
      <c r="D25" s="2">
        <f>('annual_service'!D23/(1-'annual_service'!D24))</f>
        <v>216666.6666666667</v>
      </c>
      <c r="E25" t="s">
        <v>115</v>
      </c>
      <c r="F25" t="s">
        <v>214</v>
      </c>
    </row>
    <row r="26" spans="1:7">
      <c r="A26" t="s">
        <v>215</v>
      </c>
      <c r="B26" t="s">
        <v>216</v>
      </c>
      <c r="C26" t="s">
        <v>9</v>
      </c>
      <c r="D26" s="1">
        <v>400000</v>
      </c>
      <c r="E26" t="s">
        <v>115</v>
      </c>
      <c r="G26" t="s">
        <v>217</v>
      </c>
    </row>
    <row r="27" spans="1:7">
      <c r="A27" t="s">
        <v>218</v>
      </c>
      <c r="B27" t="s">
        <v>219</v>
      </c>
      <c r="C27" t="s">
        <v>20</v>
      </c>
      <c r="D27" s="2">
        <f>('annual_service'!D26-'annual_service'!D23)</f>
        <v>270000.0</v>
      </c>
      <c r="E27" t="s">
        <v>115</v>
      </c>
      <c r="F27" t="s">
        <v>220</v>
      </c>
      <c r="G27" t="s">
        <v>221</v>
      </c>
    </row>
    <row r="28" spans="1:7">
      <c r="A28" t="s">
        <v>222</v>
      </c>
      <c r="B28" t="s">
        <v>223</v>
      </c>
      <c r="C28" t="s">
        <v>20</v>
      </c>
      <c r="D28" s="4">
        <f>('annual_service'!D27/'annual_service'!D26)</f>
        <v>0.675</v>
      </c>
      <c r="E28" t="s">
        <v>31</v>
      </c>
      <c r="F28" t="s">
        <v>224</v>
      </c>
    </row>
    <row r="29" spans="1:7">
      <c r="A29" t="s">
        <v>225</v>
      </c>
      <c r="B29" t="s">
        <v>226</v>
      </c>
      <c r="C29" t="s">
        <v>9</v>
      </c>
      <c r="D29" s="1">
        <v>1</v>
      </c>
      <c r="E29" t="s">
        <v>227</v>
      </c>
      <c r="G29" t="s">
        <v>228</v>
      </c>
    </row>
    <row r="30" spans="1:7">
      <c r="A30" t="s">
        <v>41</v>
      </c>
      <c r="B30" t="s">
        <v>229</v>
      </c>
      <c r="C30" t="s">
        <v>20</v>
      </c>
      <c r="D30" s="2">
        <f>(('annual_service'!D17+'annual_service'!D21)+'annual_service'!D22)</f>
        <v>100000.0</v>
      </c>
      <c r="E30" t="s">
        <v>10</v>
      </c>
      <c r="F30" t="s">
        <v>230</v>
      </c>
      <c r="G30" t="s">
        <v>231</v>
      </c>
    </row>
    <row r="31" spans="1:7">
      <c r="A31" t="s">
        <v>232</v>
      </c>
      <c r="B31" t="s">
        <v>233</v>
      </c>
      <c r="C31" t="s">
        <v>9</v>
      </c>
      <c r="D31" s="1">
        <v>5</v>
      </c>
      <c r="E31" t="s">
        <v>227</v>
      </c>
      <c r="G31" t="s">
        <v>234</v>
      </c>
    </row>
    <row r="32" spans="1:7">
      <c r="A32" t="s">
        <v>235</v>
      </c>
      <c r="B32" t="s">
        <v>236</v>
      </c>
      <c r="C32" t="s">
        <v>20</v>
      </c>
      <c r="D32" s="2">
        <f>('annual_service'!D29+'annual_service'!D31)</f>
        <v>6.0</v>
      </c>
      <c r="E32" t="s">
        <v>227</v>
      </c>
      <c r="F32" t="s">
        <v>237</v>
      </c>
    </row>
    <row r="33" spans="1:7">
      <c r="A33" t="s">
        <v>238</v>
      </c>
      <c r="B33" t="s">
        <v>239</v>
      </c>
      <c r="C33" t="s">
        <v>20</v>
      </c>
      <c r="D33" s="2">
        <f>('annual_service'!D26*'annual_service'!D31)</f>
        <v>2000000.0</v>
      </c>
      <c r="E33" t="s">
        <v>10</v>
      </c>
      <c r="F33" t="s">
        <v>240</v>
      </c>
      <c r="G33" t="s">
        <v>241</v>
      </c>
    </row>
    <row r="34" spans="1:7">
      <c r="A34" t="s">
        <v>242</v>
      </c>
      <c r="B34" t="s">
        <v>243</v>
      </c>
      <c r="C34" t="s">
        <v>20</v>
      </c>
      <c r="D34" s="2">
        <f>('annual_service'!D27*'annual_service'!D31)</f>
        <v>1350000.0</v>
      </c>
      <c r="E34" t="s">
        <v>10</v>
      </c>
      <c r="F34" t="s">
        <v>244</v>
      </c>
    </row>
    <row r="35" spans="1:7">
      <c r="A35" t="s">
        <v>245</v>
      </c>
      <c r="B35" t="s">
        <v>246</v>
      </c>
      <c r="C35" t="s">
        <v>9</v>
      </c>
      <c r="D35" s="1">
        <v>50000</v>
      </c>
      <c r="E35" t="s">
        <v>115</v>
      </c>
      <c r="G35" t="s">
        <v>247</v>
      </c>
    </row>
    <row r="36" spans="1:7">
      <c r="A36" t="s">
        <v>248</v>
      </c>
      <c r="B36" t="s">
        <v>249</v>
      </c>
      <c r="C36" t="s">
        <v>20</v>
      </c>
      <c r="D36" s="2">
        <f>'annual_service'!D6</f>
        <v>30000.0</v>
      </c>
      <c r="E36" t="s">
        <v>115</v>
      </c>
      <c r="F36" t="s">
        <v>153</v>
      </c>
      <c r="G36" t="s">
        <v>250</v>
      </c>
    </row>
    <row r="37" spans="1:7">
      <c r="A37" t="s">
        <v>251</v>
      </c>
      <c r="B37" t="s">
        <v>252</v>
      </c>
      <c r="C37" t="s">
        <v>20</v>
      </c>
      <c r="D37" s="2">
        <f>('annual_service'!D35-'annual_service'!D36)</f>
        <v>20000.0</v>
      </c>
      <c r="E37" t="s">
        <v>115</v>
      </c>
      <c r="F37" t="s">
        <v>253</v>
      </c>
    </row>
    <row r="38" spans="1:7">
      <c r="A38" t="s">
        <v>254</v>
      </c>
      <c r="B38" t="s">
        <v>255</v>
      </c>
      <c r="C38" t="s">
        <v>20</v>
      </c>
      <c r="D38" s="4">
        <f>('annual_service'!D37/'annual_service'!D35)</f>
        <v>0.4</v>
      </c>
      <c r="E38" t="s">
        <v>31</v>
      </c>
      <c r="F38" t="s">
        <v>256</v>
      </c>
    </row>
    <row r="39" spans="1:7">
      <c r="A39" t="s">
        <v>257</v>
      </c>
      <c r="B39" t="s">
        <v>258</v>
      </c>
      <c r="C39" t="s">
        <v>20</v>
      </c>
      <c r="D39" s="4">
        <f>('annual_service'!D26/'installation'!D10)</f>
        <v>0.16</v>
      </c>
      <c r="E39" t="s">
        <v>31</v>
      </c>
      <c r="F39" t="s">
        <v>259</v>
      </c>
      <c r="G39" t="s">
        <v>260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261</v>
      </c>
      <c r="B2" t="s">
        <v>262</v>
      </c>
      <c r="C2" t="s">
        <v>20</v>
      </c>
      <c r="D2" s="2">
        <f>'annual_service'!D26</f>
        <v>400000.0</v>
      </c>
      <c r="E2" t="s">
        <v>115</v>
      </c>
      <c r="F2" t="s">
        <v>215</v>
      </c>
    </row>
    <row r="3" spans="1:7">
      <c r="A3" t="s">
        <v>263</v>
      </c>
      <c r="B3" t="s">
        <v>264</v>
      </c>
      <c r="C3" t="s">
        <v>20</v>
      </c>
      <c r="D3" s="2">
        <f>'annual_service'!D23</f>
        <v>130000.0</v>
      </c>
      <c r="E3" t="s">
        <v>115</v>
      </c>
      <c r="F3" t="s">
        <v>207</v>
      </c>
    </row>
    <row r="4" spans="1:7">
      <c r="A4" t="s">
        <v>265</v>
      </c>
      <c r="B4" t="s">
        <v>266</v>
      </c>
      <c r="C4" t="s">
        <v>20</v>
      </c>
      <c r="D4" s="2">
        <f>'annual_service'!D27</f>
        <v>270000.0</v>
      </c>
      <c r="E4" t="s">
        <v>115</v>
      </c>
      <c r="F4" t="s">
        <v>218</v>
      </c>
    </row>
    <row r="5" spans="1:7">
      <c r="A5" t="s">
        <v>267</v>
      </c>
      <c r="B5" t="s">
        <v>268</v>
      </c>
      <c r="C5" t="s">
        <v>9</v>
      </c>
      <c r="D5" s="1">
        <v>10</v>
      </c>
      <c r="E5" t="s">
        <v>269</v>
      </c>
      <c r="G5" t="s">
        <v>270</v>
      </c>
    </row>
    <row r="6" spans="1:7">
      <c r="A6" t="s">
        <v>271</v>
      </c>
      <c r="B6" t="s">
        <v>272</v>
      </c>
      <c r="C6" t="s">
        <v>20</v>
      </c>
      <c r="D6" s="2">
        <f>('recurring_market'!D5*'recurring_market'!D2)</f>
        <v>4000000.0</v>
      </c>
      <c r="E6" t="s">
        <v>115</v>
      </c>
      <c r="F6" t="s">
        <v>273</v>
      </c>
    </row>
    <row r="7" spans="1:7">
      <c r="A7" t="s">
        <v>274</v>
      </c>
      <c r="B7" t="s">
        <v>275</v>
      </c>
      <c r="C7" t="s">
        <v>20</v>
      </c>
      <c r="D7" s="2">
        <f>('recurring_market'!D5*'recurring_market'!D3)</f>
        <v>1300000.0</v>
      </c>
      <c r="E7" t="s">
        <v>115</v>
      </c>
      <c r="F7" t="s">
        <v>276</v>
      </c>
    </row>
    <row r="8" spans="1:7">
      <c r="A8" t="s">
        <v>277</v>
      </c>
      <c r="B8" t="s">
        <v>278</v>
      </c>
      <c r="C8" t="s">
        <v>20</v>
      </c>
      <c r="D8" s="2">
        <f>('recurring_market'!D5*'recurring_market'!D4)</f>
        <v>2700000.0</v>
      </c>
      <c r="E8" t="s">
        <v>115</v>
      </c>
      <c r="F8" t="s">
        <v>279</v>
      </c>
      <c r="G8" t="s">
        <v>280</v>
      </c>
    </row>
    <row r="9" spans="1:7">
      <c r="A9" t="s">
        <v>281</v>
      </c>
      <c r="B9" t="s">
        <v>282</v>
      </c>
      <c r="C9" t="s">
        <v>9</v>
      </c>
      <c r="D9" s="1">
        <v>100</v>
      </c>
      <c r="E9" t="s">
        <v>269</v>
      </c>
      <c r="G9" t="s">
        <v>270</v>
      </c>
    </row>
    <row r="10" spans="1:7">
      <c r="A10" t="s">
        <v>283</v>
      </c>
      <c r="B10" t="s">
        <v>284</v>
      </c>
      <c r="C10" t="s">
        <v>20</v>
      </c>
      <c r="D10" s="2">
        <f>('recurring_market'!D9*'recurring_market'!D2)</f>
        <v>40000000.0</v>
      </c>
      <c r="E10" t="s">
        <v>115</v>
      </c>
      <c r="F10" t="s">
        <v>285</v>
      </c>
    </row>
    <row r="11" spans="1:7">
      <c r="A11" t="s">
        <v>286</v>
      </c>
      <c r="B11" t="s">
        <v>287</v>
      </c>
      <c r="C11" t="s">
        <v>20</v>
      </c>
      <c r="D11" s="2">
        <f>('recurring_market'!D9*'recurring_market'!D3)</f>
        <v>13000000.0</v>
      </c>
      <c r="E11" t="s">
        <v>115</v>
      </c>
      <c r="F11" t="s">
        <v>288</v>
      </c>
    </row>
    <row r="12" spans="1:7">
      <c r="A12" t="s">
        <v>289</v>
      </c>
      <c r="B12" t="s">
        <v>290</v>
      </c>
      <c r="C12" t="s">
        <v>20</v>
      </c>
      <c r="D12" s="2">
        <f>('recurring_market'!D9*'recurring_market'!D4)</f>
        <v>27000000.0</v>
      </c>
      <c r="E12" t="s">
        <v>115</v>
      </c>
      <c r="F12" t="s">
        <v>291</v>
      </c>
      <c r="G12" t="s">
        <v>280</v>
      </c>
    </row>
    <row r="13" spans="1:7">
      <c r="A13" t="s">
        <v>292</v>
      </c>
      <c r="B13" t="s">
        <v>293</v>
      </c>
      <c r="C13" t="s">
        <v>9</v>
      </c>
      <c r="D13" s="1">
        <v>300</v>
      </c>
      <c r="E13" t="s">
        <v>269</v>
      </c>
      <c r="G13" t="s">
        <v>270</v>
      </c>
    </row>
    <row r="14" spans="1:7">
      <c r="A14" t="s">
        <v>294</v>
      </c>
      <c r="B14" t="s">
        <v>295</v>
      </c>
      <c r="C14" t="s">
        <v>20</v>
      </c>
      <c r="D14" s="2">
        <f>('recurring_market'!D13*'recurring_market'!D2)</f>
        <v>120000000.0</v>
      </c>
      <c r="E14" t="s">
        <v>115</v>
      </c>
      <c r="F14" t="s">
        <v>296</v>
      </c>
    </row>
    <row r="15" spans="1:7">
      <c r="A15" t="s">
        <v>297</v>
      </c>
      <c r="B15" t="s">
        <v>298</v>
      </c>
      <c r="C15" t="s">
        <v>20</v>
      </c>
      <c r="D15" s="2">
        <f>('recurring_market'!D13*'recurring_market'!D3)</f>
        <v>39000000.0</v>
      </c>
      <c r="E15" t="s">
        <v>115</v>
      </c>
      <c r="F15" t="s">
        <v>299</v>
      </c>
    </row>
    <row r="16" spans="1:7">
      <c r="A16" t="s">
        <v>300</v>
      </c>
      <c r="B16" t="s">
        <v>301</v>
      </c>
      <c r="C16" t="s">
        <v>20</v>
      </c>
      <c r="D16" s="2">
        <f>('recurring_market'!D13*'recurring_market'!D4)</f>
        <v>81000000.0</v>
      </c>
      <c r="E16" t="s">
        <v>115</v>
      </c>
      <c r="F16" t="s">
        <v>302</v>
      </c>
      <c r="G16" t="s">
        <v>280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G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303</v>
      </c>
      <c r="B2" t="s">
        <v>304</v>
      </c>
      <c r="C2" t="s">
        <v>9</v>
      </c>
      <c r="D2" s="1">
        <v>2026</v>
      </c>
      <c r="E2" t="s">
        <v>89</v>
      </c>
    </row>
    <row r="3" spans="1:7">
      <c r="A3" t="s">
        <v>305</v>
      </c>
      <c r="B3" t="s">
        <v>306</v>
      </c>
      <c r="C3" t="s">
        <v>9</v>
      </c>
      <c r="D3" s="1">
        <v>300</v>
      </c>
      <c r="E3" t="s">
        <v>119</v>
      </c>
      <c r="G3" t="s">
        <v>307</v>
      </c>
    </row>
    <row r="4" spans="1:7">
      <c r="A4" t="s">
        <v>308</v>
      </c>
      <c r="B4" t="s">
        <v>309</v>
      </c>
      <c r="C4" t="s">
        <v>9</v>
      </c>
      <c r="D4" s="1">
        <v>10</v>
      </c>
      <c r="E4" t="s">
        <v>227</v>
      </c>
    </row>
    <row r="5" spans="1:7">
      <c r="A5" t="s">
        <v>310</v>
      </c>
      <c r="B5" t="s">
        <v>311</v>
      </c>
      <c r="C5" t="s">
        <v>9</v>
      </c>
      <c r="D5" s="1">
        <v>20</v>
      </c>
      <c r="E5" t="s">
        <v>227</v>
      </c>
    </row>
    <row r="6" spans="1:7">
      <c r="A6" t="s">
        <v>312</v>
      </c>
      <c r="B6" t="s">
        <v>313</v>
      </c>
      <c r="C6" t="s">
        <v>20</v>
      </c>
      <c r="D6" s="2">
        <f>('market_growth'!D2+'market_growth'!D4)</f>
        <v>2036.0</v>
      </c>
      <c r="E6" t="s">
        <v>89</v>
      </c>
      <c r="F6" t="s">
        <v>314</v>
      </c>
    </row>
    <row r="7" spans="1:7">
      <c r="A7" t="s">
        <v>315</v>
      </c>
      <c r="B7" t="s">
        <v>316</v>
      </c>
      <c r="C7" t="s">
        <v>20</v>
      </c>
      <c r="D7" s="2">
        <f>('market_growth'!D2+'market_growth'!D5)</f>
        <v>2046.0</v>
      </c>
      <c r="E7" t="s">
        <v>89</v>
      </c>
      <c r="F7" t="s">
        <v>317</v>
      </c>
    </row>
    <row r="8" spans="1:7">
      <c r="A8" t="s">
        <v>318</v>
      </c>
      <c r="B8" t="s">
        <v>319</v>
      </c>
      <c r="C8" t="s">
        <v>9</v>
      </c>
      <c r="D8" s="3">
        <v>0.03</v>
      </c>
      <c r="E8" t="s">
        <v>31</v>
      </c>
      <c r="G8" t="s">
        <v>320</v>
      </c>
    </row>
    <row r="9" spans="1:7">
      <c r="A9" t="s">
        <v>321</v>
      </c>
      <c r="B9" t="s">
        <v>322</v>
      </c>
      <c r="C9" t="s">
        <v>20</v>
      </c>
      <c r="D9" s="2">
        <f>('market_growth'!D3*((1+'market_growth'!D8)^'market_growth'!D4))</f>
        <v>403.1749138032367</v>
      </c>
      <c r="E9" t="s">
        <v>119</v>
      </c>
      <c r="F9" t="s">
        <v>323</v>
      </c>
    </row>
    <row r="10" spans="1:7">
      <c r="A10" t="s">
        <v>324</v>
      </c>
      <c r="B10" t="s">
        <v>325</v>
      </c>
      <c r="C10" t="s">
        <v>20</v>
      </c>
      <c r="D10" s="2">
        <f>ROUND('market_growth'!D9,0)</f>
        <v>403.0</v>
      </c>
      <c r="E10" t="s">
        <v>119</v>
      </c>
      <c r="F10" t="s">
        <v>326</v>
      </c>
    </row>
    <row r="11" spans="1:7">
      <c r="A11" t="s">
        <v>327</v>
      </c>
      <c r="B11" t="s">
        <v>328</v>
      </c>
      <c r="C11" t="s">
        <v>20</v>
      </c>
      <c r="D11" s="2">
        <f>('market_growth'!D3*((1+'market_growth'!D8)^'market_growth'!D5))</f>
        <v>541.8333704008245</v>
      </c>
      <c r="E11" t="s">
        <v>119</v>
      </c>
      <c r="F11" t="s">
        <v>329</v>
      </c>
    </row>
    <row r="12" spans="1:7">
      <c r="A12" t="s">
        <v>330</v>
      </c>
      <c r="B12" t="s">
        <v>331</v>
      </c>
      <c r="C12" t="s">
        <v>20</v>
      </c>
      <c r="D12" s="2">
        <f>ROUND('market_growth'!D11,0)</f>
        <v>542.0</v>
      </c>
      <c r="E12" t="s">
        <v>119</v>
      </c>
      <c r="F12" t="s">
        <v>332</v>
      </c>
    </row>
    <row r="13" spans="1:7">
      <c r="A13" t="s">
        <v>333</v>
      </c>
      <c r="B13" t="s">
        <v>334</v>
      </c>
      <c r="C13" t="s">
        <v>9</v>
      </c>
      <c r="D13" s="3">
        <v>0.05</v>
      </c>
      <c r="E13" t="s">
        <v>31</v>
      </c>
      <c r="G13" t="s">
        <v>320</v>
      </c>
    </row>
    <row r="14" spans="1:7">
      <c r="A14" t="s">
        <v>335</v>
      </c>
      <c r="B14" t="s">
        <v>336</v>
      </c>
      <c r="C14" t="s">
        <v>20</v>
      </c>
      <c r="D14" s="2">
        <f>('market_growth'!D3*((1+'market_growth'!D13)^'market_growth'!D4))</f>
        <v>488.6683880332326</v>
      </c>
      <c r="E14" t="s">
        <v>119</v>
      </c>
      <c r="F14" t="s">
        <v>337</v>
      </c>
    </row>
    <row r="15" spans="1:7">
      <c r="A15" t="s">
        <v>338</v>
      </c>
      <c r="B15" t="s">
        <v>339</v>
      </c>
      <c r="C15" t="s">
        <v>20</v>
      </c>
      <c r="D15" s="2">
        <f>ROUND('market_growth'!D14,0)</f>
        <v>489.0</v>
      </c>
      <c r="E15" t="s">
        <v>119</v>
      </c>
      <c r="F15" t="s">
        <v>340</v>
      </c>
    </row>
    <row r="16" spans="1:7">
      <c r="A16" t="s">
        <v>341</v>
      </c>
      <c r="B16" t="s">
        <v>342</v>
      </c>
      <c r="C16" t="s">
        <v>20</v>
      </c>
      <c r="D16" s="2">
        <f>('market_growth'!D3*((1+'market_growth'!D13)^'market_growth'!D5))</f>
        <v>795.9893115433266</v>
      </c>
      <c r="E16" t="s">
        <v>119</v>
      </c>
      <c r="F16" t="s">
        <v>343</v>
      </c>
    </row>
    <row r="17" spans="1:7">
      <c r="A17" t="s">
        <v>344</v>
      </c>
      <c r="B17" t="s">
        <v>345</v>
      </c>
      <c r="C17" t="s">
        <v>20</v>
      </c>
      <c r="D17" s="2">
        <f>ROUND('market_growth'!D16,0)</f>
        <v>796.0</v>
      </c>
      <c r="E17" t="s">
        <v>119</v>
      </c>
      <c r="F17" t="s">
        <v>346</v>
      </c>
    </row>
    <row r="18" spans="1:7">
      <c r="A18" t="s">
        <v>347</v>
      </c>
      <c r="B18" t="s">
        <v>348</v>
      </c>
      <c r="C18" t="s">
        <v>9</v>
      </c>
      <c r="D18" s="3">
        <v>0.07000000000000001</v>
      </c>
      <c r="E18" t="s">
        <v>31</v>
      </c>
      <c r="G18" t="s">
        <v>320</v>
      </c>
    </row>
    <row r="19" spans="1:7">
      <c r="A19" t="s">
        <v>349</v>
      </c>
      <c r="B19" t="s">
        <v>350</v>
      </c>
      <c r="C19" t="s">
        <v>20</v>
      </c>
      <c r="D19" s="2">
        <f>('market_growth'!D3*((1+'market_growth'!D18)^'market_growth'!D4))</f>
        <v>590.14540718687</v>
      </c>
      <c r="E19" t="s">
        <v>119</v>
      </c>
      <c r="F19" t="s">
        <v>351</v>
      </c>
    </row>
    <row r="20" spans="1:7">
      <c r="A20" t="s">
        <v>352</v>
      </c>
      <c r="B20" t="s">
        <v>353</v>
      </c>
      <c r="C20" t="s">
        <v>20</v>
      </c>
      <c r="D20" s="2">
        <f>ROUND('market_growth'!D19,0)</f>
        <v>590.0</v>
      </c>
      <c r="E20" t="s">
        <v>119</v>
      </c>
      <c r="F20" t="s">
        <v>354</v>
      </c>
    </row>
    <row r="21" spans="1:7">
      <c r="A21" t="s">
        <v>355</v>
      </c>
      <c r="B21" t="s">
        <v>356</v>
      </c>
      <c r="C21" t="s">
        <v>20</v>
      </c>
      <c r="D21" s="2">
        <f>('market_growth'!D3*((1+'market_growth'!D18)^'market_growth'!D5))</f>
        <v>1160.905338745855</v>
      </c>
      <c r="E21" t="s">
        <v>119</v>
      </c>
      <c r="F21" t="s">
        <v>357</v>
      </c>
    </row>
    <row r="22" spans="1:7">
      <c r="A22" t="s">
        <v>358</v>
      </c>
      <c r="B22" t="s">
        <v>359</v>
      </c>
      <c r="C22" t="s">
        <v>20</v>
      </c>
      <c r="D22" s="2">
        <f>ROUND('market_growth'!D21,0)</f>
        <v>1161.0</v>
      </c>
      <c r="E22" t="s">
        <v>119</v>
      </c>
      <c r="F22" t="s">
        <v>360</v>
      </c>
    </row>
    <row r="23" spans="1:7">
      <c r="A23" t="s">
        <v>361</v>
      </c>
      <c r="B23" t="s">
        <v>362</v>
      </c>
      <c r="C23" t="s">
        <v>9</v>
      </c>
      <c r="D23" s="1">
        <v>128</v>
      </c>
      <c r="E23" t="s">
        <v>363</v>
      </c>
      <c r="G23" t="s">
        <v>364</v>
      </c>
    </row>
    <row r="24" spans="1:7">
      <c r="A24" t="s">
        <v>365</v>
      </c>
      <c r="B24" t="s">
        <v>366</v>
      </c>
      <c r="C24" t="s">
        <v>9</v>
      </c>
      <c r="D24" s="1">
        <v>57</v>
      </c>
      <c r="E24" t="s">
        <v>119</v>
      </c>
      <c r="G24" t="s">
        <v>367</v>
      </c>
    </row>
    <row r="25" spans="1:7">
      <c r="A25" t="s">
        <v>368</v>
      </c>
      <c r="B25" t="s">
        <v>369</v>
      </c>
      <c r="C25" t="s">
        <v>9</v>
      </c>
      <c r="D25" s="1">
        <v>5</v>
      </c>
      <c r="E25" t="s">
        <v>119</v>
      </c>
      <c r="G25" t="s">
        <v>370</v>
      </c>
    </row>
    <row r="26" spans="1:7">
      <c r="A26" t="s">
        <v>371</v>
      </c>
      <c r="B26" t="s">
        <v>372</v>
      </c>
      <c r="C26" t="s">
        <v>9</v>
      </c>
      <c r="D26" s="3">
        <v>0.31</v>
      </c>
      <c r="E26" t="s">
        <v>31</v>
      </c>
      <c r="G26" t="s">
        <v>373</v>
      </c>
    </row>
    <row r="27" spans="1:7">
      <c r="A27" t="s">
        <v>374</v>
      </c>
      <c r="B27" t="s">
        <v>375</v>
      </c>
      <c r="C27" t="s">
        <v>20</v>
      </c>
      <c r="D27" s="2">
        <f>ROUND(('market_growth'!D25/'market_growth'!D26),0)</f>
        <v>16.0</v>
      </c>
      <c r="E27" t="s">
        <v>119</v>
      </c>
      <c r="F27" t="s">
        <v>376</v>
      </c>
    </row>
    <row r="28" spans="1:7">
      <c r="A28" t="s">
        <v>377</v>
      </c>
      <c r="B28" t="s">
        <v>378</v>
      </c>
      <c r="C28" t="s">
        <v>9</v>
      </c>
      <c r="D28" s="1">
        <v>46</v>
      </c>
      <c r="E28" t="s">
        <v>379</v>
      </c>
      <c r="G28" t="s">
        <v>380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381</v>
      </c>
      <c r="B2" t="s">
        <v>382</v>
      </c>
      <c r="C2" t="s">
        <v>20</v>
      </c>
      <c r="D2" s="2">
        <f>'installation'!D10</f>
        <v>2500000.0</v>
      </c>
      <c r="E2" t="s">
        <v>10</v>
      </c>
      <c r="F2" t="s">
        <v>36</v>
      </c>
    </row>
    <row r="3" spans="1:7">
      <c r="A3" t="s">
        <v>383</v>
      </c>
      <c r="B3" t="s">
        <v>216</v>
      </c>
      <c r="C3" t="s">
        <v>20</v>
      </c>
      <c r="D3" s="2">
        <f>'annual_service'!D26</f>
        <v>400000.0</v>
      </c>
      <c r="E3" t="s">
        <v>115</v>
      </c>
      <c r="F3" t="s">
        <v>215</v>
      </c>
    </row>
    <row r="4" spans="1:7">
      <c r="A4" t="s">
        <v>384</v>
      </c>
      <c r="B4" t="s">
        <v>385</v>
      </c>
      <c r="C4" t="s">
        <v>20</v>
      </c>
      <c r="D4" s="2">
        <f>'annual_service'!D35</f>
        <v>50000.0</v>
      </c>
      <c r="E4" t="s">
        <v>115</v>
      </c>
      <c r="F4" t="s">
        <v>245</v>
      </c>
    </row>
    <row r="5" spans="1:7">
      <c r="A5" t="s">
        <v>386</v>
      </c>
      <c r="B5" t="s">
        <v>387</v>
      </c>
      <c r="C5" t="s">
        <v>20</v>
      </c>
      <c r="D5" s="2">
        <f>('market_growth'!D14-'market_growth'!D3)</f>
        <v>188.6683880332326</v>
      </c>
      <c r="E5" t="s">
        <v>119</v>
      </c>
      <c r="F5" t="s">
        <v>388</v>
      </c>
    </row>
    <row r="6" spans="1:7">
      <c r="A6" t="s">
        <v>389</v>
      </c>
      <c r="B6" t="s">
        <v>390</v>
      </c>
      <c r="C6" t="s">
        <v>20</v>
      </c>
      <c r="D6" s="2">
        <f>ROUND('argos_market'!D5,0)</f>
        <v>189.0</v>
      </c>
      <c r="E6" t="s">
        <v>119</v>
      </c>
      <c r="F6" t="s">
        <v>391</v>
      </c>
    </row>
    <row r="7" spans="1:7">
      <c r="A7" t="s">
        <v>392</v>
      </c>
      <c r="B7" t="s">
        <v>393</v>
      </c>
      <c r="C7" t="s">
        <v>20</v>
      </c>
      <c r="D7" s="2">
        <f>('argos_market'!D5*'argos_market'!D2)</f>
        <v>471670970.0830815</v>
      </c>
      <c r="E7" t="s">
        <v>10</v>
      </c>
      <c r="F7" t="s">
        <v>394</v>
      </c>
      <c r="G7" t="s">
        <v>395</v>
      </c>
    </row>
    <row r="8" spans="1:7">
      <c r="A8" t="s">
        <v>396</v>
      </c>
      <c r="B8" t="s">
        <v>397</v>
      </c>
      <c r="C8" t="s">
        <v>20</v>
      </c>
      <c r="D8" s="2">
        <f>(('market_growth'!D3*((1+'market_growth'!D13)^('market_growth'!D4-'annual_service'!D29)))-('market_growth'!D3*((1+'market_growth'!D13)^(('market_growth'!D4-'annual_service'!D29)-'annual_service'!D31))))</f>
        <v>100.74658979355479</v>
      </c>
      <c r="E8" t="s">
        <v>119</v>
      </c>
      <c r="F8" t="s">
        <v>398</v>
      </c>
      <c r="G8" t="s">
        <v>399</v>
      </c>
    </row>
    <row r="9" spans="1:7">
      <c r="A9" t="s">
        <v>400</v>
      </c>
      <c r="B9" t="s">
        <v>401</v>
      </c>
      <c r="C9" t="s">
        <v>20</v>
      </c>
      <c r="D9" s="2">
        <f>('market_growth'!D3*((1+'market_growth'!D13)^(('market_growth'!D4-'annual_service'!D29)-'annual_service'!D31)))</f>
        <v>364.6518750000001</v>
      </c>
      <c r="E9" t="s">
        <v>119</v>
      </c>
      <c r="F9" t="s">
        <v>402</v>
      </c>
      <c r="G9" t="s">
        <v>403</v>
      </c>
    </row>
    <row r="10" spans="1:7">
      <c r="A10" t="s">
        <v>404</v>
      </c>
      <c r="B10" t="s">
        <v>405</v>
      </c>
      <c r="C10" t="s">
        <v>20</v>
      </c>
      <c r="D10" s="2">
        <f>(('argos_market'!D8*'argos_market'!D3)+('argos_market'!D9*'argos_market'!D4))</f>
        <v>58531229.66742192</v>
      </c>
      <c r="E10" t="s">
        <v>115</v>
      </c>
      <c r="F10" t="s">
        <v>406</v>
      </c>
      <c r="G10" t="s">
        <v>407</v>
      </c>
    </row>
    <row r="11" spans="1:7">
      <c r="A11" t="s">
        <v>408</v>
      </c>
      <c r="B11" t="s">
        <v>387</v>
      </c>
      <c r="C11" t="s">
        <v>20</v>
      </c>
      <c r="D11" s="2">
        <f>('market_growth'!D16-'market_growth'!D3)</f>
        <v>495.9893115433266</v>
      </c>
      <c r="E11" t="s">
        <v>119</v>
      </c>
      <c r="F11" t="s">
        <v>409</v>
      </c>
    </row>
    <row r="12" spans="1:7">
      <c r="A12" t="s">
        <v>410</v>
      </c>
      <c r="B12" t="s">
        <v>390</v>
      </c>
      <c r="C12" t="s">
        <v>20</v>
      </c>
      <c r="D12" s="2">
        <f>ROUND('argos_market'!D11,0)</f>
        <v>496.0</v>
      </c>
      <c r="E12" t="s">
        <v>119</v>
      </c>
      <c r="F12" t="s">
        <v>411</v>
      </c>
    </row>
    <row r="13" spans="1:7">
      <c r="A13" t="s">
        <v>412</v>
      </c>
      <c r="B13" t="s">
        <v>393</v>
      </c>
      <c r="C13" t="s">
        <v>20</v>
      </c>
      <c r="D13" s="2">
        <f>('argos_market'!D11*'argos_market'!D2)</f>
        <v>1239973278.8583164</v>
      </c>
      <c r="E13" t="s">
        <v>10</v>
      </c>
      <c r="F13" t="s">
        <v>413</v>
      </c>
      <c r="G13" t="s">
        <v>395</v>
      </c>
    </row>
    <row r="14" spans="1:7">
      <c r="A14" t="s">
        <v>414</v>
      </c>
      <c r="B14" t="s">
        <v>397</v>
      </c>
      <c r="C14" t="s">
        <v>20</v>
      </c>
      <c r="D14" s="2">
        <f>(('market_growth'!D3*((1+'market_growth'!D13)^('market_growth'!D5-'annual_service'!D29)))-('market_growth'!D3*((1+'market_growth'!D13)^(('market_growth'!D5-'annual_service'!D29)-'annual_service'!D31))))</f>
        <v>164.10557878087252</v>
      </c>
      <c r="E14" t="s">
        <v>119</v>
      </c>
      <c r="F14" t="s">
        <v>415</v>
      </c>
      <c r="G14" t="s">
        <v>399</v>
      </c>
    </row>
    <row r="15" spans="1:7">
      <c r="A15" t="s">
        <v>416</v>
      </c>
      <c r="B15" t="s">
        <v>401</v>
      </c>
      <c r="C15" t="s">
        <v>20</v>
      </c>
      <c r="D15" s="2">
        <f>('market_growth'!D3*((1+'market_growth'!D13)^(('market_growth'!D5-'annual_service'!D29)-'annual_service'!D31)))</f>
        <v>593.9794798318196</v>
      </c>
      <c r="E15" t="s">
        <v>119</v>
      </c>
      <c r="F15" t="s">
        <v>417</v>
      </c>
      <c r="G15" t="s">
        <v>403</v>
      </c>
    </row>
    <row r="16" spans="1:7">
      <c r="A16" t="s">
        <v>418</v>
      </c>
      <c r="B16" t="s">
        <v>405</v>
      </c>
      <c r="C16" t="s">
        <v>20</v>
      </c>
      <c r="D16" s="2">
        <f>(('argos_market'!D14*'argos_market'!D3)+('argos_market'!D15*'argos_market'!D4))</f>
        <v>95341205.50393999</v>
      </c>
      <c r="E16" t="s">
        <v>115</v>
      </c>
      <c r="F16" t="s">
        <v>419</v>
      </c>
      <c r="G16" t="s">
        <v>407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420</v>
      </c>
      <c r="B2" t="s">
        <v>421</v>
      </c>
      <c r="C2" t="s">
        <v>9</v>
      </c>
      <c r="D2" s="1">
        <v>4</v>
      </c>
      <c r="E2" t="s">
        <v>227</v>
      </c>
    </row>
    <row r="3" spans="1:7">
      <c r="A3" t="s">
        <v>422</v>
      </c>
      <c r="B3" t="s">
        <v>423</v>
      </c>
      <c r="C3" t="s">
        <v>9</v>
      </c>
      <c r="D3" s="1">
        <v>740000</v>
      </c>
      <c r="E3" t="s">
        <v>10</v>
      </c>
    </row>
    <row r="4" spans="1:7">
      <c r="A4" t="s">
        <v>424</v>
      </c>
      <c r="B4" t="s">
        <v>13</v>
      </c>
      <c r="C4" t="s">
        <v>9</v>
      </c>
      <c r="D4" s="1">
        <v>100000</v>
      </c>
      <c r="E4" t="s">
        <v>10</v>
      </c>
    </row>
    <row r="5" spans="1:7">
      <c r="A5" t="s">
        <v>425</v>
      </c>
      <c r="B5" t="s">
        <v>426</v>
      </c>
      <c r="C5" t="s">
        <v>9</v>
      </c>
      <c r="D5" s="1">
        <v>100000</v>
      </c>
      <c r="E5" t="s">
        <v>10</v>
      </c>
      <c r="G5" t="s">
        <v>427</v>
      </c>
    </row>
    <row r="6" spans="1:7">
      <c r="A6" t="s">
        <v>428</v>
      </c>
      <c r="B6" t="s">
        <v>429</v>
      </c>
      <c r="C6" t="s">
        <v>20</v>
      </c>
      <c r="D6" s="2">
        <f>(('costs-reduced'!D3+'costs-reduced'!D4)+'costs-reduced'!D5)</f>
        <v>940000.0</v>
      </c>
      <c r="E6" t="s">
        <v>10</v>
      </c>
      <c r="F6" t="s">
        <v>430</v>
      </c>
    </row>
    <row r="7" spans="1:7">
      <c r="A7" t="s">
        <v>431</v>
      </c>
      <c r="B7" t="s">
        <v>432</v>
      </c>
      <c r="C7" t="s">
        <v>9</v>
      </c>
      <c r="D7" s="1">
        <v>200000</v>
      </c>
      <c r="E7" t="s">
        <v>10</v>
      </c>
      <c r="G7" t="s">
        <v>433</v>
      </c>
    </row>
    <row r="8" spans="1:7">
      <c r="A8" t="s">
        <v>434</v>
      </c>
      <c r="B8" t="s">
        <v>435</v>
      </c>
      <c r="C8" t="s">
        <v>9</v>
      </c>
      <c r="D8" s="1">
        <v>300000</v>
      </c>
      <c r="E8" t="s">
        <v>10</v>
      </c>
      <c r="G8" t="s">
        <v>436</v>
      </c>
    </row>
    <row r="9" spans="1:7">
      <c r="A9" t="s">
        <v>437</v>
      </c>
      <c r="B9" t="s">
        <v>438</v>
      </c>
      <c r="C9" t="s">
        <v>20</v>
      </c>
      <c r="D9" s="2">
        <f>(('costs-reduced'!D6+'costs-reduced'!D7)+'costs-reduced'!D8)</f>
        <v>1440000.0</v>
      </c>
      <c r="E9" t="s">
        <v>10</v>
      </c>
      <c r="F9" t="s">
        <v>439</v>
      </c>
    </row>
    <row r="10" spans="1:7">
      <c r="A10" t="s">
        <v>440</v>
      </c>
      <c r="B10" t="s">
        <v>441</v>
      </c>
      <c r="C10" t="s">
        <v>9</v>
      </c>
      <c r="D10" s="1">
        <v>1</v>
      </c>
      <c r="E10" t="s">
        <v>442</v>
      </c>
    </row>
    <row r="11" spans="1:7">
      <c r="A11" t="s">
        <v>443</v>
      </c>
      <c r="B11" t="s">
        <v>444</v>
      </c>
      <c r="C11" t="s">
        <v>9</v>
      </c>
      <c r="D11" s="1">
        <v>100000</v>
      </c>
      <c r="E11" t="s">
        <v>115</v>
      </c>
      <c r="G11" t="s">
        <v>427</v>
      </c>
    </row>
    <row r="12" spans="1:7">
      <c r="A12" t="s">
        <v>445</v>
      </c>
      <c r="B12" t="s">
        <v>446</v>
      </c>
      <c r="C12" t="s">
        <v>20</v>
      </c>
      <c r="D12" s="2">
        <f>'costs-reduced'!D2</f>
        <v>4.0</v>
      </c>
      <c r="E12" t="s">
        <v>227</v>
      </c>
      <c r="F12" t="s">
        <v>420</v>
      </c>
    </row>
    <row r="13" spans="1:7">
      <c r="A13" t="s">
        <v>447</v>
      </c>
      <c r="B13" t="s">
        <v>448</v>
      </c>
      <c r="C13" t="s">
        <v>20</v>
      </c>
      <c r="D13" s="2">
        <f>(('costs-reduced'!D10*'costs-reduced'!D11)*'costs-reduced'!D12)</f>
        <v>400000.0</v>
      </c>
      <c r="E13" t="s">
        <v>10</v>
      </c>
      <c r="F13" t="s">
        <v>449</v>
      </c>
    </row>
    <row r="14" spans="1:7">
      <c r="A14" t="s">
        <v>450</v>
      </c>
      <c r="B14" t="s">
        <v>451</v>
      </c>
      <c r="C14" t="s">
        <v>9</v>
      </c>
      <c r="D14" s="1">
        <v>0</v>
      </c>
      <c r="E14" t="s">
        <v>442</v>
      </c>
      <c r="G14" t="s">
        <v>452</v>
      </c>
    </row>
    <row r="15" spans="1:7">
      <c r="A15" t="s">
        <v>453</v>
      </c>
      <c r="B15" t="s">
        <v>454</v>
      </c>
      <c r="C15" t="s">
        <v>9</v>
      </c>
      <c r="D15" s="1">
        <v>100000</v>
      </c>
      <c r="E15" t="s">
        <v>115</v>
      </c>
      <c r="G15" t="s">
        <v>455</v>
      </c>
    </row>
    <row r="16" spans="1:7">
      <c r="A16" t="s">
        <v>456</v>
      </c>
      <c r="B16" t="s">
        <v>457</v>
      </c>
      <c r="C16" t="s">
        <v>20</v>
      </c>
      <c r="D16" s="2">
        <f>'costs-reduced'!D2</f>
        <v>4.0</v>
      </c>
      <c r="E16" t="s">
        <v>227</v>
      </c>
      <c r="F16" t="s">
        <v>420</v>
      </c>
    </row>
    <row r="17" spans="1:7">
      <c r="A17" t="s">
        <v>458</v>
      </c>
      <c r="B17" t="s">
        <v>459</v>
      </c>
      <c r="C17" t="s">
        <v>20</v>
      </c>
      <c r="D17" s="2">
        <f>(('costs-reduced'!D14*'costs-reduced'!D15)*'costs-reduced'!D16)</f>
        <v>0.0</v>
      </c>
      <c r="E17" t="s">
        <v>10</v>
      </c>
      <c r="F17" t="s">
        <v>460</v>
      </c>
    </row>
    <row r="18" spans="1:7">
      <c r="A18" t="s">
        <v>461</v>
      </c>
      <c r="B18" t="s">
        <v>462</v>
      </c>
      <c r="C18" t="s">
        <v>9</v>
      </c>
      <c r="D18" s="1">
        <v>1</v>
      </c>
      <c r="E18" t="s">
        <v>442</v>
      </c>
    </row>
    <row r="19" spans="1:7">
      <c r="A19" t="s">
        <v>463</v>
      </c>
      <c r="B19" t="s">
        <v>464</v>
      </c>
      <c r="C19" t="s">
        <v>9</v>
      </c>
      <c r="D19" s="1">
        <v>85000</v>
      </c>
      <c r="E19" t="s">
        <v>115</v>
      </c>
      <c r="G19" t="s">
        <v>455</v>
      </c>
    </row>
    <row r="20" spans="1:7">
      <c r="A20" t="s">
        <v>465</v>
      </c>
      <c r="B20" t="s">
        <v>466</v>
      </c>
      <c r="C20" t="s">
        <v>20</v>
      </c>
      <c r="D20" s="2">
        <f>'costs-reduced'!D2</f>
        <v>4.0</v>
      </c>
      <c r="E20" t="s">
        <v>227</v>
      </c>
      <c r="F20" t="s">
        <v>420</v>
      </c>
    </row>
    <row r="21" spans="1:7">
      <c r="A21" t="s">
        <v>467</v>
      </c>
      <c r="B21" t="s">
        <v>468</v>
      </c>
      <c r="C21" t="s">
        <v>20</v>
      </c>
      <c r="D21" s="2">
        <f>(('costs-reduced'!D18*'costs-reduced'!D19)*'costs-reduced'!D20)</f>
        <v>340000.0</v>
      </c>
      <c r="E21" t="s">
        <v>10</v>
      </c>
      <c r="F21" t="s">
        <v>469</v>
      </c>
    </row>
    <row r="22" spans="1:7">
      <c r="A22" t="s">
        <v>470</v>
      </c>
      <c r="B22" t="s">
        <v>471</v>
      </c>
      <c r="C22" t="s">
        <v>9</v>
      </c>
      <c r="D22" s="1">
        <v>1</v>
      </c>
      <c r="E22" t="s">
        <v>442</v>
      </c>
      <c r="G22" t="s">
        <v>427</v>
      </c>
    </row>
    <row r="23" spans="1:7">
      <c r="A23" t="s">
        <v>472</v>
      </c>
      <c r="B23" t="s">
        <v>473</v>
      </c>
      <c r="C23" t="s">
        <v>9</v>
      </c>
      <c r="D23" s="1">
        <v>85000</v>
      </c>
      <c r="E23" t="s">
        <v>115</v>
      </c>
      <c r="G23" t="s">
        <v>455</v>
      </c>
    </row>
    <row r="24" spans="1:7">
      <c r="A24" t="s">
        <v>474</v>
      </c>
      <c r="B24" t="s">
        <v>475</v>
      </c>
      <c r="C24" t="s">
        <v>20</v>
      </c>
      <c r="D24" s="2">
        <f>'costs-reduced'!D2</f>
        <v>4.0</v>
      </c>
      <c r="E24" t="s">
        <v>227</v>
      </c>
      <c r="F24" t="s">
        <v>420</v>
      </c>
    </row>
    <row r="25" spans="1:7">
      <c r="A25" t="s">
        <v>476</v>
      </c>
      <c r="B25" t="s">
        <v>477</v>
      </c>
      <c r="C25" t="s">
        <v>20</v>
      </c>
      <c r="D25" s="2">
        <f>(('costs-reduced'!D22*'costs-reduced'!D23)*'costs-reduced'!D24)</f>
        <v>340000.0</v>
      </c>
      <c r="E25" t="s">
        <v>10</v>
      </c>
      <c r="F25" t="s">
        <v>478</v>
      </c>
    </row>
    <row r="26" spans="1:7">
      <c r="A26" t="s">
        <v>479</v>
      </c>
      <c r="B26" t="s">
        <v>480</v>
      </c>
      <c r="C26" t="s">
        <v>9</v>
      </c>
      <c r="D26" s="1">
        <v>1</v>
      </c>
      <c r="E26" t="s">
        <v>442</v>
      </c>
    </row>
    <row r="27" spans="1:7">
      <c r="A27" t="s">
        <v>481</v>
      </c>
      <c r="B27" t="s">
        <v>482</v>
      </c>
      <c r="C27" t="s">
        <v>9</v>
      </c>
      <c r="D27" s="1">
        <v>85000</v>
      </c>
      <c r="E27" t="s">
        <v>115</v>
      </c>
      <c r="G27" t="s">
        <v>427</v>
      </c>
    </row>
    <row r="28" spans="1:7">
      <c r="A28" t="s">
        <v>483</v>
      </c>
      <c r="B28" t="s">
        <v>484</v>
      </c>
      <c r="C28" t="s">
        <v>20</v>
      </c>
      <c r="D28" s="2">
        <f>'costs-reduced'!D2</f>
        <v>4.0</v>
      </c>
      <c r="E28" t="s">
        <v>227</v>
      </c>
      <c r="F28" t="s">
        <v>420</v>
      </c>
    </row>
    <row r="29" spans="1:7">
      <c r="A29" t="s">
        <v>485</v>
      </c>
      <c r="B29" t="s">
        <v>486</v>
      </c>
      <c r="C29" t="s">
        <v>20</v>
      </c>
      <c r="D29" s="2">
        <f>(('costs-reduced'!D26*'costs-reduced'!D27)*'costs-reduced'!D28)</f>
        <v>340000.0</v>
      </c>
      <c r="E29" t="s">
        <v>10</v>
      </c>
      <c r="F29" t="s">
        <v>487</v>
      </c>
    </row>
    <row r="30" spans="1:7">
      <c r="A30" t="s">
        <v>488</v>
      </c>
      <c r="B30" t="s">
        <v>489</v>
      </c>
      <c r="C30" t="s">
        <v>9</v>
      </c>
      <c r="D30" s="1">
        <v>1</v>
      </c>
      <c r="E30" t="s">
        <v>442</v>
      </c>
    </row>
    <row r="31" spans="1:7">
      <c r="A31" t="s">
        <v>490</v>
      </c>
      <c r="B31" t="s">
        <v>491</v>
      </c>
      <c r="C31" t="s">
        <v>9</v>
      </c>
      <c r="D31" s="1">
        <v>50000</v>
      </c>
      <c r="E31" t="s">
        <v>115</v>
      </c>
      <c r="G31" t="s">
        <v>427</v>
      </c>
    </row>
    <row r="32" spans="1:7">
      <c r="A32" t="s">
        <v>492</v>
      </c>
      <c r="B32" t="s">
        <v>493</v>
      </c>
      <c r="C32" t="s">
        <v>9</v>
      </c>
      <c r="D32" s="1">
        <v>3</v>
      </c>
      <c r="E32" t="s">
        <v>227</v>
      </c>
      <c r="G32" t="s">
        <v>494</v>
      </c>
    </row>
    <row r="33" spans="1:7">
      <c r="A33" t="s">
        <v>495</v>
      </c>
      <c r="B33" t="s">
        <v>496</v>
      </c>
      <c r="C33" t="s">
        <v>20</v>
      </c>
      <c r="D33" s="2">
        <f>(('costs-reduced'!D30*'costs-reduced'!D31)*'costs-reduced'!D32)</f>
        <v>150000.0</v>
      </c>
      <c r="E33" t="s">
        <v>10</v>
      </c>
      <c r="F33" t="s">
        <v>497</v>
      </c>
    </row>
    <row r="34" spans="1:7">
      <c r="A34" t="s">
        <v>498</v>
      </c>
      <c r="B34" t="s">
        <v>499</v>
      </c>
      <c r="C34" t="s">
        <v>9</v>
      </c>
      <c r="D34" s="1">
        <v>0</v>
      </c>
      <c r="E34" t="s">
        <v>442</v>
      </c>
      <c r="G34" t="s">
        <v>500</v>
      </c>
    </row>
    <row r="35" spans="1:7">
      <c r="A35" t="s">
        <v>501</v>
      </c>
      <c r="B35" t="s">
        <v>502</v>
      </c>
      <c r="C35" t="s">
        <v>9</v>
      </c>
      <c r="D35" s="1">
        <v>90000</v>
      </c>
      <c r="E35" t="s">
        <v>115</v>
      </c>
      <c r="G35" t="s">
        <v>455</v>
      </c>
    </row>
    <row r="36" spans="1:7">
      <c r="A36" t="s">
        <v>503</v>
      </c>
      <c r="B36" t="s">
        <v>504</v>
      </c>
      <c r="C36" t="s">
        <v>20</v>
      </c>
      <c r="D36" s="2">
        <f>'costs-reduced'!D2</f>
        <v>4.0</v>
      </c>
      <c r="E36" t="s">
        <v>227</v>
      </c>
      <c r="F36" t="s">
        <v>420</v>
      </c>
    </row>
    <row r="37" spans="1:7">
      <c r="A37" t="s">
        <v>505</v>
      </c>
      <c r="B37" t="s">
        <v>506</v>
      </c>
      <c r="C37" t="s">
        <v>20</v>
      </c>
      <c r="D37" s="2">
        <f>(('costs-reduced'!D34*'costs-reduced'!D35)*'costs-reduced'!D36)</f>
        <v>0.0</v>
      </c>
      <c r="E37" t="s">
        <v>10</v>
      </c>
      <c r="F37" t="s">
        <v>507</v>
      </c>
    </row>
    <row r="38" spans="1:7">
      <c r="A38" t="s">
        <v>508</v>
      </c>
      <c r="B38" t="s">
        <v>509</v>
      </c>
      <c r="C38" t="s">
        <v>9</v>
      </c>
      <c r="D38" s="1">
        <v>0</v>
      </c>
      <c r="E38" t="s">
        <v>442</v>
      </c>
      <c r="G38" t="s">
        <v>500</v>
      </c>
    </row>
    <row r="39" spans="1:7">
      <c r="A39" t="s">
        <v>510</v>
      </c>
      <c r="B39" t="s">
        <v>511</v>
      </c>
      <c r="C39" t="s">
        <v>9</v>
      </c>
      <c r="D39" s="1">
        <v>80000</v>
      </c>
      <c r="E39" t="s">
        <v>115</v>
      </c>
      <c r="G39" t="s">
        <v>512</v>
      </c>
    </row>
    <row r="40" spans="1:7">
      <c r="A40" t="s">
        <v>513</v>
      </c>
      <c r="B40" t="s">
        <v>514</v>
      </c>
      <c r="C40" t="s">
        <v>9</v>
      </c>
      <c r="D40" s="1">
        <v>2</v>
      </c>
      <c r="E40" t="s">
        <v>227</v>
      </c>
      <c r="G40" t="s">
        <v>494</v>
      </c>
    </row>
    <row r="41" spans="1:7">
      <c r="A41" t="s">
        <v>515</v>
      </c>
      <c r="B41" t="s">
        <v>516</v>
      </c>
      <c r="C41" t="s">
        <v>20</v>
      </c>
      <c r="D41" s="2">
        <f>(('costs-reduced'!D38*'costs-reduced'!D39)*'costs-reduced'!D40)</f>
        <v>0.0</v>
      </c>
      <c r="E41" t="s">
        <v>10</v>
      </c>
      <c r="F41" t="s">
        <v>517</v>
      </c>
    </row>
    <row r="42" spans="1:7">
      <c r="A42" t="s">
        <v>518</v>
      </c>
      <c r="B42" t="s">
        <v>519</v>
      </c>
      <c r="C42" t="s">
        <v>9</v>
      </c>
      <c r="D42" s="1">
        <v>1</v>
      </c>
      <c r="E42" t="s">
        <v>442</v>
      </c>
    </row>
    <row r="43" spans="1:7">
      <c r="A43" t="s">
        <v>520</v>
      </c>
      <c r="B43" t="s">
        <v>521</v>
      </c>
      <c r="C43" t="s">
        <v>9</v>
      </c>
      <c r="D43" s="1">
        <v>40000</v>
      </c>
      <c r="E43" t="s">
        <v>115</v>
      </c>
      <c r="G43" t="s">
        <v>522</v>
      </c>
    </row>
    <row r="44" spans="1:7">
      <c r="A44" t="s">
        <v>523</v>
      </c>
      <c r="B44" t="s">
        <v>524</v>
      </c>
      <c r="C44" t="s">
        <v>20</v>
      </c>
      <c r="D44" s="2">
        <f>'costs-reduced'!D2</f>
        <v>4.0</v>
      </c>
      <c r="E44" t="s">
        <v>227</v>
      </c>
      <c r="F44" t="s">
        <v>420</v>
      </c>
    </row>
    <row r="45" spans="1:7">
      <c r="A45" t="s">
        <v>525</v>
      </c>
      <c r="B45" t="s">
        <v>526</v>
      </c>
      <c r="C45" t="s">
        <v>20</v>
      </c>
      <c r="D45" s="2">
        <f>(('costs-reduced'!D42*'costs-reduced'!D43)*'costs-reduced'!D44)</f>
        <v>160000.0</v>
      </c>
      <c r="E45" t="s">
        <v>10</v>
      </c>
      <c r="F45" t="s">
        <v>527</v>
      </c>
    </row>
    <row r="46" spans="1:7">
      <c r="A46" t="s">
        <v>528</v>
      </c>
      <c r="B46" t="s">
        <v>529</v>
      </c>
      <c r="C46" t="s">
        <v>20</v>
      </c>
      <c r="D46" s="2">
        <f>(((((((('costs-reduced'!D13+'costs-reduced'!D17)+'costs-reduced'!D21)+'costs-reduced'!D25)+'costs-reduced'!D29)+'costs-reduced'!D33)+'costs-reduced'!D37)+'costs-reduced'!D41)+'costs-reduced'!D45)</f>
        <v>1730000.0</v>
      </c>
      <c r="E46" t="s">
        <v>10</v>
      </c>
      <c r="F46" t="s">
        <v>530</v>
      </c>
    </row>
    <row r="47" spans="1:7">
      <c r="A47" t="s">
        <v>531</v>
      </c>
      <c r="B47" t="s">
        <v>532</v>
      </c>
      <c r="C47" t="s">
        <v>9</v>
      </c>
      <c r="D47" s="1">
        <v>50000</v>
      </c>
      <c r="E47" t="s">
        <v>10</v>
      </c>
      <c r="G47" t="s">
        <v>533</v>
      </c>
    </row>
    <row r="48" spans="1:7">
      <c r="A48" t="s">
        <v>534</v>
      </c>
      <c r="B48" t="s">
        <v>535</v>
      </c>
      <c r="C48" t="s">
        <v>9</v>
      </c>
      <c r="D48" s="1">
        <v>25000</v>
      </c>
      <c r="E48" t="s">
        <v>10</v>
      </c>
      <c r="G48" t="s">
        <v>533</v>
      </c>
    </row>
    <row r="49" spans="1:7">
      <c r="A49" t="s">
        <v>536</v>
      </c>
      <c r="B49" t="s">
        <v>537</v>
      </c>
      <c r="C49" t="s">
        <v>9</v>
      </c>
      <c r="D49" s="1">
        <v>10000</v>
      </c>
      <c r="E49" t="s">
        <v>115</v>
      </c>
      <c r="G49" t="s">
        <v>427</v>
      </c>
    </row>
    <row r="50" spans="1:7">
      <c r="A50" t="s">
        <v>538</v>
      </c>
      <c r="B50" t="s">
        <v>539</v>
      </c>
      <c r="C50" t="s">
        <v>20</v>
      </c>
      <c r="D50" s="2">
        <f>('costs-reduced'!D49*'costs-reduced'!D2)</f>
        <v>40000.0</v>
      </c>
      <c r="E50" t="s">
        <v>10</v>
      </c>
      <c r="F50" t="s">
        <v>540</v>
      </c>
    </row>
    <row r="51" spans="1:7">
      <c r="A51" t="s">
        <v>541</v>
      </c>
      <c r="B51" t="s">
        <v>542</v>
      </c>
      <c r="C51" t="s">
        <v>9</v>
      </c>
      <c r="D51" s="1">
        <v>20000</v>
      </c>
      <c r="E51" t="s">
        <v>115</v>
      </c>
      <c r="G51" t="s">
        <v>427</v>
      </c>
    </row>
    <row r="52" spans="1:7">
      <c r="A52" t="s">
        <v>543</v>
      </c>
      <c r="B52" t="s">
        <v>544</v>
      </c>
      <c r="C52" t="s">
        <v>20</v>
      </c>
      <c r="D52" s="2">
        <f>('costs-reduced'!D51*'costs-reduced'!D2)</f>
        <v>80000.0</v>
      </c>
      <c r="E52" t="s">
        <v>10</v>
      </c>
      <c r="F52" t="s">
        <v>545</v>
      </c>
    </row>
    <row r="53" spans="1:7">
      <c r="A53" t="s">
        <v>546</v>
      </c>
      <c r="B53" t="s">
        <v>547</v>
      </c>
      <c r="C53" t="s">
        <v>9</v>
      </c>
      <c r="D53" s="1">
        <v>30000</v>
      </c>
      <c r="E53" t="s">
        <v>115</v>
      </c>
    </row>
    <row r="54" spans="1:7">
      <c r="A54" t="s">
        <v>548</v>
      </c>
      <c r="B54" t="s">
        <v>549</v>
      </c>
      <c r="C54" t="s">
        <v>20</v>
      </c>
      <c r="D54" s="2">
        <f>('costs-reduced'!D53*'costs-reduced'!D2)</f>
        <v>120000.0</v>
      </c>
      <c r="E54" t="s">
        <v>10</v>
      </c>
      <c r="F54" t="s">
        <v>550</v>
      </c>
    </row>
    <row r="55" spans="1:7">
      <c r="A55" t="s">
        <v>551</v>
      </c>
      <c r="B55" t="s">
        <v>552</v>
      </c>
      <c r="C55" t="s">
        <v>20</v>
      </c>
      <c r="D55" s="2">
        <f>((((('costs-reduced'!D46+'costs-reduced'!D47)+'costs-reduced'!D48)+'costs-reduced'!D50)+'costs-reduced'!D52)+'costs-reduced'!D54)</f>
        <v>2045000.0</v>
      </c>
      <c r="E55" t="s">
        <v>10</v>
      </c>
      <c r="F55" t="s">
        <v>553</v>
      </c>
    </row>
    <row r="56" spans="1:7">
      <c r="A56" t="s">
        <v>554</v>
      </c>
      <c r="B56" t="s">
        <v>555</v>
      </c>
      <c r="C56" t="s">
        <v>20</v>
      </c>
      <c r="D56" s="2">
        <f>('costs-reduced'!D9+'costs-reduced'!D55)</f>
        <v>3485000.0</v>
      </c>
      <c r="E56" t="s">
        <v>10</v>
      </c>
      <c r="F56" t="s">
        <v>556</v>
      </c>
    </row>
    <row r="57" spans="1:7">
      <c r="A57" t="s">
        <v>557</v>
      </c>
      <c r="B57" t="s">
        <v>558</v>
      </c>
      <c r="C57" t="s">
        <v>9</v>
      </c>
      <c r="D57" s="1">
        <v>252000</v>
      </c>
      <c r="E57" t="s">
        <v>10</v>
      </c>
      <c r="G57" t="s">
        <v>559</v>
      </c>
    </row>
    <row r="58" spans="1:7">
      <c r="A58" t="s">
        <v>560</v>
      </c>
      <c r="B58" t="s">
        <v>561</v>
      </c>
      <c r="C58" t="s">
        <v>9</v>
      </c>
      <c r="D58" s="1">
        <v>0</v>
      </c>
      <c r="E58" t="s">
        <v>10</v>
      </c>
      <c r="G58" t="s">
        <v>500</v>
      </c>
    </row>
    <row r="59" spans="1:7">
      <c r="A59" t="s">
        <v>562</v>
      </c>
      <c r="B59" t="s">
        <v>563</v>
      </c>
      <c r="C59" t="s">
        <v>9</v>
      </c>
      <c r="D59" s="1">
        <v>263000</v>
      </c>
      <c r="E59" t="s">
        <v>10</v>
      </c>
      <c r="G59" t="s">
        <v>564</v>
      </c>
    </row>
    <row r="60" spans="1:7">
      <c r="A60" t="s">
        <v>565</v>
      </c>
      <c r="B60" t="s">
        <v>566</v>
      </c>
      <c r="C60" t="s">
        <v>20</v>
      </c>
      <c r="D60" s="2">
        <f>((('costs-reduced'!D56+'costs-reduced'!D57)+'costs-reduced'!D58)+'costs-reduced'!D59)</f>
        <v>4000000.0</v>
      </c>
      <c r="E60" t="s">
        <v>10</v>
      </c>
      <c r="F60" t="s">
        <v>567</v>
      </c>
    </row>
    <row r="61" spans="1:7">
      <c r="A61" t="s">
        <v>568</v>
      </c>
      <c r="B61" t="s">
        <v>569</v>
      </c>
      <c r="C61" t="s">
        <v>9</v>
      </c>
      <c r="D61" s="1">
        <v>100000</v>
      </c>
      <c r="E61" t="s">
        <v>10</v>
      </c>
    </row>
    <row r="62" spans="1:7">
      <c r="A62" t="s">
        <v>570</v>
      </c>
      <c r="B62" t="s">
        <v>571</v>
      </c>
      <c r="C62" t="s">
        <v>20</v>
      </c>
      <c r="D62" s="2">
        <f>(CEILING(('costs-reduced'!D60/'costs-reduced'!D61),1)*'costs-reduced'!D61)</f>
        <v>4000000.0</v>
      </c>
      <c r="E62" t="s">
        <v>10</v>
      </c>
      <c r="F62" t="s">
        <v>572</v>
      </c>
    </row>
    <row r="63" spans="1:7">
      <c r="A63" t="s">
        <v>573</v>
      </c>
      <c r="B63" t="s">
        <v>574</v>
      </c>
      <c r="C63" t="s">
        <v>20</v>
      </c>
      <c r="D63" s="2">
        <f>('costs-reduced'!D55-'costs-reduced'!D46)</f>
        <v>315000.0</v>
      </c>
      <c r="E63" t="s">
        <v>10</v>
      </c>
      <c r="F63" t="s">
        <v>575</v>
      </c>
      <c r="G63" t="s">
        <v>576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577</v>
      </c>
      <c r="B2" t="s">
        <v>578</v>
      </c>
      <c r="C2" t="s">
        <v>20</v>
      </c>
      <c r="D2" s="2">
        <f>'costs-reduced'!D11</f>
        <v>100000.0</v>
      </c>
      <c r="E2" t="s">
        <v>115</v>
      </c>
      <c r="F2" t="s">
        <v>443</v>
      </c>
      <c r="G2" t="s">
        <v>579</v>
      </c>
    </row>
    <row r="3" spans="1:7">
      <c r="A3" t="s">
        <v>580</v>
      </c>
      <c r="B3" t="s">
        <v>581</v>
      </c>
      <c r="C3" t="s">
        <v>20</v>
      </c>
      <c r="D3" s="2">
        <f>'costs-reduced'!D12</f>
        <v>4.0</v>
      </c>
      <c r="E3" t="s">
        <v>227</v>
      </c>
      <c r="F3" t="s">
        <v>445</v>
      </c>
      <c r="G3" t="s">
        <v>579</v>
      </c>
    </row>
    <row r="4" spans="1:7">
      <c r="A4" t="s">
        <v>582</v>
      </c>
      <c r="B4" t="s">
        <v>583</v>
      </c>
      <c r="C4" t="s">
        <v>20</v>
      </c>
      <c r="D4" s="2">
        <f>'costs-reduced'!D13</f>
        <v>400000.0</v>
      </c>
      <c r="E4" t="s">
        <v>10</v>
      </c>
      <c r="F4" t="s">
        <v>447</v>
      </c>
      <c r="G4" t="s">
        <v>579</v>
      </c>
    </row>
    <row r="5" spans="1:7">
      <c r="A5" t="s">
        <v>584</v>
      </c>
      <c r="B5" t="s">
        <v>585</v>
      </c>
      <c r="C5" t="s">
        <v>20</v>
      </c>
      <c r="D5" s="2">
        <f>'costs-reduced'!D10</f>
        <v>1.0</v>
      </c>
      <c r="E5" t="s">
        <v>442</v>
      </c>
      <c r="F5" t="s">
        <v>440</v>
      </c>
      <c r="G5" t="s">
        <v>579</v>
      </c>
    </row>
    <row r="6" spans="1:7">
      <c r="A6" t="s">
        <v>586</v>
      </c>
      <c r="B6" t="s">
        <v>587</v>
      </c>
      <c r="C6" t="s">
        <v>20</v>
      </c>
      <c r="D6" s="2">
        <f>'costs-reduced'!D19</f>
        <v>85000.0</v>
      </c>
      <c r="E6" t="s">
        <v>115</v>
      </c>
      <c r="F6" t="s">
        <v>463</v>
      </c>
      <c r="G6" t="s">
        <v>579</v>
      </c>
    </row>
    <row r="7" spans="1:7">
      <c r="A7" t="s">
        <v>588</v>
      </c>
      <c r="B7" t="s">
        <v>589</v>
      </c>
      <c r="C7" t="s">
        <v>20</v>
      </c>
      <c r="D7" s="2">
        <f>'costs-reduced'!D20</f>
        <v>4.0</v>
      </c>
      <c r="E7" t="s">
        <v>227</v>
      </c>
      <c r="F7" t="s">
        <v>465</v>
      </c>
      <c r="G7" t="s">
        <v>579</v>
      </c>
    </row>
    <row r="8" spans="1:7">
      <c r="A8" t="s">
        <v>590</v>
      </c>
      <c r="B8" t="s">
        <v>591</v>
      </c>
      <c r="C8" t="s">
        <v>20</v>
      </c>
      <c r="D8" s="2">
        <f>'costs-reduced'!D21</f>
        <v>340000.0</v>
      </c>
      <c r="E8" t="s">
        <v>10</v>
      </c>
      <c r="F8" t="s">
        <v>467</v>
      </c>
      <c r="G8" t="s">
        <v>579</v>
      </c>
    </row>
    <row r="9" spans="1:7">
      <c r="A9" t="s">
        <v>592</v>
      </c>
      <c r="B9" t="s">
        <v>593</v>
      </c>
      <c r="C9" t="s">
        <v>20</v>
      </c>
      <c r="D9" s="2">
        <f>'costs-reduced'!D18</f>
        <v>1.0</v>
      </c>
      <c r="E9" t="s">
        <v>442</v>
      </c>
      <c r="F9" t="s">
        <v>461</v>
      </c>
      <c r="G9" t="s">
        <v>579</v>
      </c>
    </row>
    <row r="10" spans="1:7">
      <c r="A10" t="s">
        <v>594</v>
      </c>
      <c r="B10" t="s">
        <v>595</v>
      </c>
      <c r="C10" t="s">
        <v>20</v>
      </c>
      <c r="D10" s="2">
        <f>'costs-reduced'!D23</f>
        <v>85000.0</v>
      </c>
      <c r="E10" t="s">
        <v>115</v>
      </c>
      <c r="F10" t="s">
        <v>472</v>
      </c>
      <c r="G10" t="s">
        <v>579</v>
      </c>
    </row>
    <row r="11" spans="1:7">
      <c r="A11" t="s">
        <v>596</v>
      </c>
      <c r="B11" t="s">
        <v>597</v>
      </c>
      <c r="C11" t="s">
        <v>20</v>
      </c>
      <c r="D11" s="2">
        <f>'costs-reduced'!D24</f>
        <v>4.0</v>
      </c>
      <c r="E11" t="s">
        <v>227</v>
      </c>
      <c r="F11" t="s">
        <v>474</v>
      </c>
      <c r="G11" t="s">
        <v>579</v>
      </c>
    </row>
    <row r="12" spans="1:7">
      <c r="A12" t="s">
        <v>598</v>
      </c>
      <c r="B12" t="s">
        <v>599</v>
      </c>
      <c r="C12" t="s">
        <v>20</v>
      </c>
      <c r="D12" s="2">
        <f>'costs-reduced'!D25</f>
        <v>340000.0</v>
      </c>
      <c r="E12" t="s">
        <v>10</v>
      </c>
      <c r="F12" t="s">
        <v>476</v>
      </c>
      <c r="G12" t="s">
        <v>579</v>
      </c>
    </row>
    <row r="13" spans="1:7">
      <c r="A13" t="s">
        <v>600</v>
      </c>
      <c r="B13" t="s">
        <v>601</v>
      </c>
      <c r="C13" t="s">
        <v>20</v>
      </c>
      <c r="D13" s="2">
        <f>'costs-reduced'!D22</f>
        <v>1.0</v>
      </c>
      <c r="E13" t="s">
        <v>442</v>
      </c>
      <c r="F13" t="s">
        <v>470</v>
      </c>
      <c r="G13" t="s">
        <v>579</v>
      </c>
    </row>
    <row r="14" spans="1:7">
      <c r="A14" t="s">
        <v>602</v>
      </c>
      <c r="B14" t="s">
        <v>603</v>
      </c>
      <c r="C14" t="s">
        <v>20</v>
      </c>
      <c r="D14" s="2">
        <f>'costs-reduced'!D27</f>
        <v>85000.0</v>
      </c>
      <c r="E14" t="s">
        <v>115</v>
      </c>
      <c r="F14" t="s">
        <v>481</v>
      </c>
      <c r="G14" t="s">
        <v>579</v>
      </c>
    </row>
    <row r="15" spans="1:7">
      <c r="A15" t="s">
        <v>604</v>
      </c>
      <c r="B15" t="s">
        <v>605</v>
      </c>
      <c r="C15" t="s">
        <v>20</v>
      </c>
      <c r="D15" s="2">
        <f>'costs-reduced'!D28</f>
        <v>4.0</v>
      </c>
      <c r="E15" t="s">
        <v>227</v>
      </c>
      <c r="F15" t="s">
        <v>483</v>
      </c>
      <c r="G15" t="s">
        <v>579</v>
      </c>
    </row>
    <row r="16" spans="1:7">
      <c r="A16" t="s">
        <v>606</v>
      </c>
      <c r="B16" t="s">
        <v>607</v>
      </c>
      <c r="C16" t="s">
        <v>20</v>
      </c>
      <c r="D16" s="2">
        <f>'costs-reduced'!D29</f>
        <v>340000.0</v>
      </c>
      <c r="E16" t="s">
        <v>10</v>
      </c>
      <c r="F16" t="s">
        <v>485</v>
      </c>
      <c r="G16" t="s">
        <v>579</v>
      </c>
    </row>
    <row r="17" spans="1:7">
      <c r="A17" t="s">
        <v>608</v>
      </c>
      <c r="B17" t="s">
        <v>609</v>
      </c>
      <c r="C17" t="s">
        <v>20</v>
      </c>
      <c r="D17" s="2">
        <f>'costs-reduced'!D26</f>
        <v>1.0</v>
      </c>
      <c r="E17" t="s">
        <v>442</v>
      </c>
      <c r="F17" t="s">
        <v>479</v>
      </c>
      <c r="G17" t="s">
        <v>579</v>
      </c>
    </row>
    <row r="18" spans="1:7">
      <c r="A18" t="s">
        <v>610</v>
      </c>
      <c r="B18" t="s">
        <v>611</v>
      </c>
      <c r="C18" t="s">
        <v>20</v>
      </c>
      <c r="D18" s="2">
        <f>'costs-reduced'!D31</f>
        <v>50000.0</v>
      </c>
      <c r="E18" t="s">
        <v>115</v>
      </c>
      <c r="F18" t="s">
        <v>490</v>
      </c>
      <c r="G18" t="s">
        <v>579</v>
      </c>
    </row>
    <row r="19" spans="1:7">
      <c r="A19" t="s">
        <v>612</v>
      </c>
      <c r="B19" t="s">
        <v>613</v>
      </c>
      <c r="C19" t="s">
        <v>20</v>
      </c>
      <c r="D19" s="2">
        <f>'costs-reduced'!D32</f>
        <v>3.0</v>
      </c>
      <c r="E19" t="s">
        <v>227</v>
      </c>
      <c r="F19" t="s">
        <v>492</v>
      </c>
      <c r="G19" t="s">
        <v>579</v>
      </c>
    </row>
    <row r="20" spans="1:7">
      <c r="A20" t="s">
        <v>614</v>
      </c>
      <c r="B20" t="s">
        <v>615</v>
      </c>
      <c r="C20" t="s">
        <v>20</v>
      </c>
      <c r="D20" s="2">
        <f>'costs-reduced'!D33</f>
        <v>150000.0</v>
      </c>
      <c r="E20" t="s">
        <v>10</v>
      </c>
      <c r="F20" t="s">
        <v>495</v>
      </c>
      <c r="G20" t="s">
        <v>579</v>
      </c>
    </row>
    <row r="21" spans="1:7">
      <c r="A21" t="s">
        <v>616</v>
      </c>
      <c r="B21" t="s">
        <v>617</v>
      </c>
      <c r="C21" t="s">
        <v>20</v>
      </c>
      <c r="D21" s="2">
        <f>'costs-reduced'!D30</f>
        <v>1.0</v>
      </c>
      <c r="E21" t="s">
        <v>442</v>
      </c>
      <c r="F21" t="s">
        <v>488</v>
      </c>
      <c r="G21" t="s">
        <v>579</v>
      </c>
    </row>
    <row r="22" spans="1:7">
      <c r="A22" t="s">
        <v>618</v>
      </c>
      <c r="B22" t="s">
        <v>619</v>
      </c>
      <c r="C22" t="s">
        <v>20</v>
      </c>
      <c r="D22" s="2">
        <f>'costs-reduced'!D43</f>
        <v>40000.0</v>
      </c>
      <c r="E22" t="s">
        <v>115</v>
      </c>
      <c r="F22" t="s">
        <v>520</v>
      </c>
      <c r="G22" t="s">
        <v>579</v>
      </c>
    </row>
    <row r="23" spans="1:7">
      <c r="A23" t="s">
        <v>620</v>
      </c>
      <c r="B23" t="s">
        <v>621</v>
      </c>
      <c r="C23" t="s">
        <v>20</v>
      </c>
      <c r="D23" s="2">
        <f>'costs-reduced'!D44</f>
        <v>4.0</v>
      </c>
      <c r="E23" t="s">
        <v>227</v>
      </c>
      <c r="F23" t="s">
        <v>523</v>
      </c>
      <c r="G23" t="s">
        <v>579</v>
      </c>
    </row>
    <row r="24" spans="1:7">
      <c r="A24" t="s">
        <v>622</v>
      </c>
      <c r="B24" t="s">
        <v>623</v>
      </c>
      <c r="C24" t="s">
        <v>20</v>
      </c>
      <c r="D24" s="2">
        <f>'costs-reduced'!D45</f>
        <v>160000.0</v>
      </c>
      <c r="E24" t="s">
        <v>10</v>
      </c>
      <c r="F24" t="s">
        <v>525</v>
      </c>
      <c r="G24" t="s">
        <v>579</v>
      </c>
    </row>
    <row r="25" spans="1:7">
      <c r="A25" t="s">
        <v>624</v>
      </c>
      <c r="B25" t="s">
        <v>625</v>
      </c>
      <c r="C25" t="s">
        <v>20</v>
      </c>
      <c r="D25" s="2">
        <f>'costs-reduced'!D42</f>
        <v>1.0</v>
      </c>
      <c r="E25" t="s">
        <v>442</v>
      </c>
      <c r="F25" t="s">
        <v>518</v>
      </c>
      <c r="G25" t="s">
        <v>579</v>
      </c>
    </row>
    <row r="26" spans="1:7">
      <c r="A26" t="s">
        <v>626</v>
      </c>
      <c r="B26" t="s">
        <v>529</v>
      </c>
      <c r="C26" t="s">
        <v>20</v>
      </c>
      <c r="D26" s="2">
        <f>'costs-reduced'!D46</f>
        <v>1730000.0</v>
      </c>
      <c r="E26" t="s">
        <v>10</v>
      </c>
      <c r="F26" t="s">
        <v>528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627</v>
      </c>
      <c r="B2" t="s">
        <v>628</v>
      </c>
      <c r="C2" t="s">
        <v>20</v>
      </c>
      <c r="D2" s="2">
        <f>'costs-reduced'!D3</f>
        <v>740000.0</v>
      </c>
      <c r="E2" t="s">
        <v>10</v>
      </c>
      <c r="F2" t="s">
        <v>422</v>
      </c>
      <c r="G2" t="s">
        <v>579</v>
      </c>
    </row>
    <row r="3" spans="1:7">
      <c r="A3" t="s">
        <v>629</v>
      </c>
      <c r="B3" t="s">
        <v>630</v>
      </c>
      <c r="C3" t="s">
        <v>20</v>
      </c>
      <c r="D3" s="2">
        <f>'costs-reduced'!D4</f>
        <v>100000.0</v>
      </c>
      <c r="E3" t="s">
        <v>10</v>
      </c>
      <c r="F3" t="s">
        <v>424</v>
      </c>
      <c r="G3" t="s">
        <v>579</v>
      </c>
    </row>
    <row r="4" spans="1:7">
      <c r="A4" t="s">
        <v>631</v>
      </c>
      <c r="B4" t="s">
        <v>632</v>
      </c>
      <c r="C4" t="s">
        <v>20</v>
      </c>
      <c r="D4" s="2">
        <f>'costs-reduced'!D5</f>
        <v>100000.0</v>
      </c>
      <c r="E4" t="s">
        <v>10</v>
      </c>
      <c r="F4" t="s">
        <v>425</v>
      </c>
      <c r="G4" t="s">
        <v>579</v>
      </c>
    </row>
    <row r="5" spans="1:7">
      <c r="A5" t="s">
        <v>633</v>
      </c>
      <c r="B5" t="s">
        <v>634</v>
      </c>
      <c r="C5" t="s">
        <v>20</v>
      </c>
      <c r="D5" s="2">
        <f>'costs-reduced'!D7</f>
        <v>200000.0</v>
      </c>
      <c r="E5" t="s">
        <v>10</v>
      </c>
      <c r="F5" t="s">
        <v>431</v>
      </c>
      <c r="G5" t="s">
        <v>579</v>
      </c>
    </row>
    <row r="6" spans="1:7">
      <c r="A6" t="s">
        <v>635</v>
      </c>
      <c r="B6" t="s">
        <v>636</v>
      </c>
      <c r="C6" t="s">
        <v>20</v>
      </c>
      <c r="D6" s="2">
        <f>'costs-reduced'!D8</f>
        <v>300000.0</v>
      </c>
      <c r="E6" t="s">
        <v>10</v>
      </c>
      <c r="F6" t="s">
        <v>434</v>
      </c>
      <c r="G6" t="s">
        <v>579</v>
      </c>
    </row>
    <row r="7" spans="1:7">
      <c r="A7" t="s">
        <v>637</v>
      </c>
      <c r="B7" t="s">
        <v>638</v>
      </c>
      <c r="C7" t="s">
        <v>20</v>
      </c>
      <c r="D7" s="2">
        <f>'costs-reduced'!D9</f>
        <v>1440000.0</v>
      </c>
      <c r="E7" t="s">
        <v>10</v>
      </c>
      <c r="F7" t="s">
        <v>437</v>
      </c>
      <c r="G7" t="s">
        <v>579</v>
      </c>
    </row>
    <row r="8" spans="1:7">
      <c r="A8" t="s">
        <v>639</v>
      </c>
      <c r="B8" t="s">
        <v>640</v>
      </c>
      <c r="C8" t="s">
        <v>20</v>
      </c>
      <c r="D8" s="2">
        <f>'costs-reduced'!D47</f>
        <v>50000.0</v>
      </c>
      <c r="E8" t="s">
        <v>10</v>
      </c>
      <c r="F8" t="s">
        <v>531</v>
      </c>
      <c r="G8" t="s">
        <v>579</v>
      </c>
    </row>
    <row r="9" spans="1:7">
      <c r="A9" t="s">
        <v>641</v>
      </c>
      <c r="B9" t="s">
        <v>642</v>
      </c>
      <c r="C9" t="s">
        <v>20</v>
      </c>
      <c r="D9" s="2">
        <f>'costs-reduced'!D48</f>
        <v>25000.0</v>
      </c>
      <c r="E9" t="s">
        <v>10</v>
      </c>
      <c r="F9" t="s">
        <v>534</v>
      </c>
      <c r="G9" t="s">
        <v>579</v>
      </c>
    </row>
    <row r="10" spans="1:7">
      <c r="A10" t="s">
        <v>643</v>
      </c>
      <c r="B10" t="s">
        <v>644</v>
      </c>
      <c r="C10" t="s">
        <v>9</v>
      </c>
      <c r="D10" s="1">
        <v>1</v>
      </c>
      <c r="E10" t="s">
        <v>89</v>
      </c>
      <c r="G10" t="s">
        <v>645</v>
      </c>
    </row>
    <row r="11" spans="1:7">
      <c r="A11" t="s">
        <v>646</v>
      </c>
      <c r="B11" t="s">
        <v>647</v>
      </c>
      <c r="C11" t="s">
        <v>9</v>
      </c>
      <c r="D11" s="1">
        <v>2</v>
      </c>
      <c r="E11" t="s">
        <v>89</v>
      </c>
    </row>
    <row r="12" spans="1:7">
      <c r="A12" t="s">
        <v>648</v>
      </c>
      <c r="B12" t="s">
        <v>649</v>
      </c>
      <c r="C12" t="s">
        <v>9</v>
      </c>
      <c r="D12" s="1">
        <v>3</v>
      </c>
      <c r="E12" t="s">
        <v>89</v>
      </c>
    </row>
    <row r="13" spans="1:7">
      <c r="A13" t="s">
        <v>650</v>
      </c>
      <c r="B13" t="s">
        <v>651</v>
      </c>
      <c r="C13" t="s">
        <v>20</v>
      </c>
      <c r="D13" s="2">
        <f>'costs-reduced'!D2</f>
        <v>4.0</v>
      </c>
      <c r="E13" t="s">
        <v>89</v>
      </c>
      <c r="F13" t="s">
        <v>420</v>
      </c>
    </row>
    <row r="14" spans="1:7">
      <c r="A14" t="s">
        <v>652</v>
      </c>
      <c r="B14" t="s">
        <v>653</v>
      </c>
      <c r="C14" t="s">
        <v>9</v>
      </c>
      <c r="D14" s="1">
        <v>1</v>
      </c>
      <c r="E14" t="s">
        <v>654</v>
      </c>
    </row>
    <row r="15" spans="1:7">
      <c r="A15" t="s">
        <v>655</v>
      </c>
      <c r="B15" t="s">
        <v>656</v>
      </c>
      <c r="C15" t="s">
        <v>9</v>
      </c>
      <c r="D15" s="1">
        <v>1</v>
      </c>
      <c r="E15" t="s">
        <v>654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installation</vt:lpstr>
      <vt:lpstr>installation_market</vt:lpstr>
      <vt:lpstr>annual_service</vt:lpstr>
      <vt:lpstr>recurring_market</vt:lpstr>
      <vt:lpstr>market_growth</vt:lpstr>
      <vt:lpstr>argos_market</vt:lpstr>
      <vt:lpstr>costs-reduced</vt:lpstr>
      <vt:lpstr>startup_team</vt:lpstr>
      <vt:lpstr>startup_programme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ARGOS installation and service economics</dc:title>
  <dc:creator/>
  <dc:description>Generated from CSV tables. Edit CSV, then regenerate.</dc:description>
  <cp:lastModifiedBy/>
  <dcterms:created xsi:type="dcterms:W3CDTF">2026-09-13T23:03:18Z</dcterms:created>
  <dcterms:modified xsi:type="dcterms:W3CDTF">2026-09-13T23:03:18Z</dcterms:modified>
</cp:coreProperties>
</file>